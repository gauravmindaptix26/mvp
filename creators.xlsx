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gram- Fin, Biz &amp; Career" sheetId="1" r:id="rId5"/>
  </sheets>
  <definedNames>
    <definedName hidden="1" localSheetId="0" name="Z_97921F84_6BA7_47CA_9AA1_9D331FA0FD32_.wvu.FilterData">'Instagram- Fin, Biz &amp; Career'!$A$1:$L$102</definedName>
  </definedNames>
  <calcPr/>
  <customWorkbookViews>
    <customWorkbookView activeSheetId="0" maximized="1" windowHeight="0" windowWidth="0" guid="{97921F84-6BA7-47CA-9AA1-9D331FA0FD32}" name="Filter 1"/>
  </customWorkbookViews>
</workbook>
</file>

<file path=xl/sharedStrings.xml><?xml version="1.0" encoding="utf-8"?>
<sst xmlns="http://schemas.openxmlformats.org/spreadsheetml/2006/main" count="443" uniqueCount="277">
  <si>
    <t xml:space="preserve"> </t>
  </si>
  <si>
    <t>Note - 18% gst will be applicable over and above the locked commercials for each and every creator</t>
  </si>
  <si>
    <t>S no</t>
  </si>
  <si>
    <t>Name</t>
  </si>
  <si>
    <t>Followers</t>
  </si>
  <si>
    <t>Category</t>
  </si>
  <si>
    <t>Link</t>
  </si>
  <si>
    <t>Reel + story reshare</t>
  </si>
  <si>
    <t>Story</t>
  </si>
  <si>
    <t>Static Post</t>
  </si>
  <si>
    <t>UGC (Social media but No Ads)</t>
  </si>
  <si>
    <t>UGC with 1 Month RIghts</t>
  </si>
  <si>
    <t>1 Month Digital RIghts</t>
  </si>
  <si>
    <t>Location</t>
  </si>
  <si>
    <t>Abhishek Kar</t>
  </si>
  <si>
    <t>Trading</t>
  </si>
  <si>
    <t>https://instagram.com/abhishekkarofficial?igshid=MTI1ZDU5ODQ3Yw==</t>
  </si>
  <si>
    <t>Indore</t>
  </si>
  <si>
    <t>Sagar Sinha</t>
  </si>
  <si>
    <t>Business and Marketing</t>
  </si>
  <si>
    <t>https://www.instagram.com/coachsagarsinha?utm_source=ig_web_button_share_sheet&amp;igsh=ZDNlZDc0MzIxNw==</t>
  </si>
  <si>
    <t>Delhi - NCR</t>
  </si>
  <si>
    <t>Rochit Singh (SEBI registered)</t>
  </si>
  <si>
    <t>https://www.instagram.com/rochit__singh/</t>
  </si>
  <si>
    <t>Noida</t>
  </si>
  <si>
    <t>Rahul Malodia</t>
  </si>
  <si>
    <t>https://www.instagram.com/rahulmalodiaofficial?igsh=ZDNlZDc0MzIxNw==</t>
  </si>
  <si>
    <t>Jaipur</t>
  </si>
  <si>
    <t>Sakchi Jain</t>
  </si>
  <si>
    <t>Personal finance</t>
  </si>
  <si>
    <r>
      <rPr>
        <rFont val="Calibri"/>
        <color rgb="FF1155CC"/>
        <sz val="11.0"/>
        <u/>
      </rPr>
      <t>https://instagram.com/ca.sakchijain?igshid=OGQ5ZDc2ODk2ZA==</t>
    </r>
    <r>
      <rPr>
        <rFont val="Calibri"/>
        <color rgb="FF0563C1"/>
        <sz val="11.0"/>
        <u/>
      </rPr>
      <t>=</t>
    </r>
  </si>
  <si>
    <t>Ranchi</t>
  </si>
  <si>
    <t xml:space="preserve">Sanjay Kathuria </t>
  </si>
  <si>
    <t>https://www.instagram.com/financebysanjay/</t>
  </si>
  <si>
    <t>Deepak Wadhwa (SEBI Registered)</t>
  </si>
  <si>
    <t>https://www.instagram.com/deepakwadhwa.official?&amp;igsh=ZDNlZDc0MzIxNw==</t>
  </si>
  <si>
    <t>Delhi</t>
  </si>
  <si>
    <t>Pretty Much Finance</t>
  </si>
  <si>
    <t>https://www.instagram.com/prettymuchfinance/</t>
  </si>
  <si>
    <t>Rise with Rahul</t>
  </si>
  <si>
    <t>https://www.instagram.com/rise_with_rahul?i&amp;igsh=ZDNlZDc0MzIxNw==</t>
  </si>
  <si>
    <t>Anant Ladha</t>
  </si>
  <si>
    <t>https://www.instagram.com/anantladha1234/?hl=en</t>
  </si>
  <si>
    <t>Kota</t>
  </si>
  <si>
    <t>Harshak Sinha</t>
  </si>
  <si>
    <t>https://instagram.com/harshaksinha?igshid=NzZhOTFlYzFmZQ==</t>
  </si>
  <si>
    <t>Mumbai</t>
  </si>
  <si>
    <t>Viral Sakshiya</t>
  </si>
  <si>
    <t>https://www.instagram.com/viral_sakhiya/</t>
  </si>
  <si>
    <t>Riyaelity</t>
  </si>
  <si>
    <t>https://www.instagram.com/riyaelity?igsh=ZDNlZDc0MzIxNw==</t>
  </si>
  <si>
    <t>Finance with Manveer</t>
  </si>
  <si>
    <t>https://www.instagram.com/stockswithmanveer</t>
  </si>
  <si>
    <t>Udaipur</t>
  </si>
  <si>
    <t>Riya Upreti</t>
  </si>
  <si>
    <t>Career</t>
  </si>
  <si>
    <t>https://www.instagram.com/careerwithriya?igsh=Ym9kd2FoM3RpYmt5</t>
  </si>
  <si>
    <t>Atiksha</t>
  </si>
  <si>
    <t>https://www.instagram.com/fin_saheli?igsh=d2tqcWVuZGlvbDZh</t>
  </si>
  <si>
    <t>WIll Power Star (Mangesh)</t>
  </si>
  <si>
    <t>https://www.instagram.com/thewillpowerstar/</t>
  </si>
  <si>
    <t>Pune</t>
  </si>
  <si>
    <t>Bhanu Pathak</t>
  </si>
  <si>
    <t>https://www.instagram.com/bhanu_pathak?igsh=ZDNlZDc0MzIxNw==</t>
  </si>
  <si>
    <t>Stocklopedia - (SEBI registered)</t>
  </si>
  <si>
    <t>https://www.instagram.com/mohmayaonfinance/</t>
  </si>
  <si>
    <t>Banglore</t>
  </si>
  <si>
    <t>CA Vibhash Khatri</t>
  </si>
  <si>
    <t>https://instagram.com/vibhashkhattri?igshid=MzRlODBiNWFlZA==</t>
  </si>
  <si>
    <t>Varanasi</t>
  </si>
  <si>
    <t xml:space="preserve">Arpit Sharma </t>
  </si>
  <si>
    <t>https://www.instagram.com/arpitsharmai/?hl=en</t>
  </si>
  <si>
    <t>Preet Ghanani</t>
  </si>
  <si>
    <t>https://instagram.com/thepocketpro_?igshid=MzRlODBiNWFlZA==</t>
  </si>
  <si>
    <t>Finance with Arun - (NISM certified)</t>
  </si>
  <si>
    <t>https://instagram.com/financewitharun?igshid=OGQ2MjdiOTE=</t>
  </si>
  <si>
    <t xml:space="preserve">Chahal Verma </t>
  </si>
  <si>
    <t>https://instagram.com/chahalvermaa?igshid=MzRlODBiNWFlZA==</t>
  </si>
  <si>
    <t>Sarang Yadav - (NISM certified)</t>
  </si>
  <si>
    <t>https://www.instagram.com/bossofstockmarket?igsh=ZDNlZDc0MzIxNw==</t>
  </si>
  <si>
    <t>Aman Singh Negi</t>
  </si>
  <si>
    <t>https://www.instagram.com/wealthboard_/</t>
  </si>
  <si>
    <t>Dehradun</t>
  </si>
  <si>
    <t>Tarun Malhotra - (NISM certified)</t>
  </si>
  <si>
    <t>https://instagram.com/tarunmalhotraaa?igshid=MzRlODBiNWFlZA==</t>
  </si>
  <si>
    <t xml:space="preserve">CA Isha Jaiswal </t>
  </si>
  <si>
    <t xml:space="preserve">Trading </t>
  </si>
  <si>
    <t>https://www.instagram.com/ca.ishajaiswal?igsh=MXFwMzFzbmM1bXluaw==</t>
  </si>
  <si>
    <t>Uzair</t>
  </si>
  <si>
    <t>https://www.instagram.com/uzaironomics/</t>
  </si>
  <si>
    <t>Gaurav Ghai</t>
  </si>
  <si>
    <t>https://instagram.com/thegauravghai?igshid=MzRlODBiNWFlZA==</t>
  </si>
  <si>
    <t>Shashwat Amrev</t>
  </si>
  <si>
    <t>https://www.instagram.com/shashwat_amrev/</t>
  </si>
  <si>
    <t>Raipur</t>
  </si>
  <si>
    <t>Rochit Unfiltered  (SEBI registered)</t>
  </si>
  <si>
    <t>https://www.instagram.com/rochit.unfiltered?utm_source=ig_web_button_share_sheet&amp;igsh=ZDNlZDc0MzIxNw==</t>
  </si>
  <si>
    <t>Lucknow</t>
  </si>
  <si>
    <t>Cyber Detectives</t>
  </si>
  <si>
    <t>Infotainment</t>
  </si>
  <si>
    <t>https://www.instagram.com/cyber_detectives?utm_source=ig_web_button_share_sheet&amp;igsh=ZDNlZDc0MzIxNw==</t>
  </si>
  <si>
    <t>Ketan Mali</t>
  </si>
  <si>
    <t>https://www.instagram.com/ketanmaliofficial/</t>
  </si>
  <si>
    <t>Divyanshu Jain</t>
  </si>
  <si>
    <t>https://www.instagram.com/divyanshu.jain/?hl=en</t>
  </si>
  <si>
    <t>Mukul Agarwal</t>
  </si>
  <si>
    <t>https://www.instagram.com/themukulagrawal?igsh=NjhhdDh6aGpudmpt</t>
  </si>
  <si>
    <t>Manish</t>
  </si>
  <si>
    <t>https://www.instagram.com/manish_ag_finance?igsh=ZDNlZDc0MzIxNw==</t>
  </si>
  <si>
    <t>Legit Financials</t>
  </si>
  <si>
    <t>https://www.instagram.com/legitfinancials/</t>
  </si>
  <si>
    <t>Gujrati Trader</t>
  </si>
  <si>
    <t>https://www.instagram.com/gujrati_trader/</t>
  </si>
  <si>
    <t>Raghav Arora</t>
  </si>
  <si>
    <t>https://www.instagram.com/hiraghavarorajobs/?</t>
  </si>
  <si>
    <t xml:space="preserve">Top stocker </t>
  </si>
  <si>
    <t>https://www.instagram.com/topstocker24?igsh=MWN1NW5oMjN3MXRkYg==</t>
  </si>
  <si>
    <t>Rohit</t>
  </si>
  <si>
    <t>https://www.instagram.com/rupeeswith_rohit?&amp;igsh=ZDNlZDc0MzIxNw==</t>
  </si>
  <si>
    <t>UP</t>
  </si>
  <si>
    <t>Abhinav Trades</t>
  </si>
  <si>
    <t>https://www.instagram.com/abhinav.trades/</t>
  </si>
  <si>
    <t xml:space="preserve">Tejas Joshi </t>
  </si>
  <si>
    <t>https://www.instagram.com/tejasjosh.i?igsh=MWt6dHZuMWdsM3RzZA==</t>
  </si>
  <si>
    <t xml:space="preserve">Rahul Patidar </t>
  </si>
  <si>
    <t>Finance</t>
  </si>
  <si>
    <t>https://www.instagram.com/thisisrahulpatidar</t>
  </si>
  <si>
    <t>Mayur Diwan</t>
  </si>
  <si>
    <t>https://www.instagram.com/diwanmayur?&amp;igsh=ZDNlZDc0MzIxNw==</t>
  </si>
  <si>
    <t>Ahemdabad</t>
  </si>
  <si>
    <t>Mayank khandelwal(investifyme)</t>
  </si>
  <si>
    <t>https://www.instagram.com/investify_me?igsh=a2QzeHJybXhyZW5p</t>
  </si>
  <si>
    <t xml:space="preserve">Gaurav Mahawar </t>
  </si>
  <si>
    <t>https://www.instagram.com/gaurav.mahawar.ig?igsh=cGliejl2dnM1aXhw</t>
  </si>
  <si>
    <t xml:space="preserve">Shailesh Aryan </t>
  </si>
  <si>
    <t>https://www.instagram.com/shailesh_aryann/?hl=en</t>
  </si>
  <si>
    <t>Jharkhand</t>
  </si>
  <si>
    <t>Simpli stocks english (SEBI registered)</t>
  </si>
  <si>
    <t>https://www.instagram.com/simplistocks/</t>
  </si>
  <si>
    <t>Accurate Arun</t>
  </si>
  <si>
    <t>https://www.instagram.com/accurate_arun/?hl=en</t>
  </si>
  <si>
    <t>Maths with Mansi</t>
  </si>
  <si>
    <t>https://www.instagram.com/themansichopra?igsh=aGlpanczYmNjeDhq</t>
  </si>
  <si>
    <t>Manveer Singh</t>
  </si>
  <si>
    <t>https://www.instagram.com/manveerr.singh/</t>
  </si>
  <si>
    <t>Desi finance duo</t>
  </si>
  <si>
    <t>https://www.instagram.com/desifinanceduo?igsh=eWtvaHVyb21saDE3</t>
  </si>
  <si>
    <t>Aakrriti Pateria</t>
  </si>
  <si>
    <t>https://www.instagram.com/godigitalwithaakriti/</t>
  </si>
  <si>
    <t>Financial Adda</t>
  </si>
  <si>
    <t>https://www.instagram.com/financialadda.co.in/</t>
  </si>
  <si>
    <t>Amar Khanna</t>
  </si>
  <si>
    <t xml:space="preserve">Finance </t>
  </si>
  <si>
    <t>https://www.instagram.com/amarkhannatrades/?hl=en</t>
  </si>
  <si>
    <t>Pune and Mumbai</t>
  </si>
  <si>
    <t>Hardik Bhatia</t>
  </si>
  <si>
    <t>https://instagram.com/hardikbhatia.in?igshid=MzRlODBiNWFlZA==</t>
  </si>
  <si>
    <t>Diptimai Sahoo</t>
  </si>
  <si>
    <t>https://www.instagram.com/diptimaisahoo4/</t>
  </si>
  <si>
    <t>Pankaj Ladha</t>
  </si>
  <si>
    <t>https://www.instagram.com/pankajladha_/</t>
  </si>
  <si>
    <t>Shahid Khan</t>
  </si>
  <si>
    <t>https://www.instagram.com/shahidkhan0911?igsh=ZDNlZDc0MzIxNw==</t>
  </si>
  <si>
    <t xml:space="preserve">Sarthak Academy </t>
  </si>
  <si>
    <t>https://www.instagram.com/sarthak_academyy/</t>
  </si>
  <si>
    <t>Sahil Verma</t>
  </si>
  <si>
    <t>https://instagram.com/its_sahilverma31?igshid=MGNiNDI5ZTU=</t>
  </si>
  <si>
    <t>Sadaf</t>
  </si>
  <si>
    <t>Doctor</t>
  </si>
  <si>
    <t>https://www.instagram.com/ladydoctor.sadaf/</t>
  </si>
  <si>
    <t>Jamui Bihar</t>
  </si>
  <si>
    <t>Investor Ashish</t>
  </si>
  <si>
    <t>https://www.instagram.com/investor.ashishh/</t>
  </si>
  <si>
    <t>CA Ali - Talk Stock (SEBI registered)</t>
  </si>
  <si>
    <t>https://instagram.com/mr.talkstock?igshid=YmMyMTA2M2Y=</t>
  </si>
  <si>
    <t>Bangalore</t>
  </si>
  <si>
    <t>Arpan Kukreja (SEBI registered)</t>
  </si>
  <si>
    <t>https://www.instagram.com/arpan.kukreja/</t>
  </si>
  <si>
    <t xml:space="preserve">Raj Pathak </t>
  </si>
  <si>
    <t>https://www.instagram.com/rajtalksmoney</t>
  </si>
  <si>
    <t>Bhopal</t>
  </si>
  <si>
    <t>She talks finance</t>
  </si>
  <si>
    <t>https://www.instagram.com/shetalks_finance?igsh=N2IwZmVpY2ZzdzFp</t>
  </si>
  <si>
    <t>Adi arora (Faad guy)</t>
  </si>
  <si>
    <t>https://www.instagram.com/adi__arora/</t>
  </si>
  <si>
    <t xml:space="preserve">Mazedar Finance </t>
  </si>
  <si>
    <t>https://www.instagram.com/mazedarfinance/</t>
  </si>
  <si>
    <t>Sonal</t>
  </si>
  <si>
    <t>https://www.instagram.com/financewithsonal_/profilecard/?igsh=cW92MjJ0aTlzYWli</t>
  </si>
  <si>
    <t>Kaushal Talks</t>
  </si>
  <si>
    <t>https://instagram.com/kaushaltalks?igshid=YmMyMTA2M2Y=</t>
  </si>
  <si>
    <t>Uttrakhand</t>
  </si>
  <si>
    <t>Ayush Jain</t>
  </si>
  <si>
    <t>https://www.instagram.com/moneytalkswithaj?igsh=MTlsdm11eHloYmo3eA==</t>
  </si>
  <si>
    <t>All season traders</t>
  </si>
  <si>
    <t>https://www.instagram.com/allseasontraders/</t>
  </si>
  <si>
    <t>Rajeev K S</t>
  </si>
  <si>
    <t>https://www.instagram.com/rajeevfinance</t>
  </si>
  <si>
    <t>Bengaluru</t>
  </si>
  <si>
    <t>Abhishek Tiwari</t>
  </si>
  <si>
    <t>https://www.instagram.com/abhishek_tiwari20/</t>
  </si>
  <si>
    <t>https://www.instagram.com/letsbrandbharat?utm_source=ig_web_button_share_sheet&amp;igsh=ZDNlZDc0MzIxNw==</t>
  </si>
  <si>
    <t>Anurag Yadav</t>
  </si>
  <si>
    <t>https://www.instagram.com/invest.with.anurag?igsh=ZDNlZDc0MzIxNw==</t>
  </si>
  <si>
    <t>Rudra Jaisara</t>
  </si>
  <si>
    <t>https://www.instagram.com/jaisara_finance?igsh=NzVkdzVpcXpyY3Zz</t>
  </si>
  <si>
    <t>Ashish Gulgulia (Insights Wallah)</t>
  </si>
  <si>
    <t>https://www.instagram.com/insightswallah?igsh=MWlsMzB4cTE3c200aw==</t>
  </si>
  <si>
    <t xml:space="preserve">Noida </t>
  </si>
  <si>
    <t>My everyday Investor</t>
  </si>
  <si>
    <t>https://instagram.com/myeverydayinvestor?igshid=YmMyMTA2M2Y=</t>
  </si>
  <si>
    <t>Hyderabad</t>
  </si>
  <si>
    <t>Conceptual Trading</t>
  </si>
  <si>
    <t>Trader</t>
  </si>
  <si>
    <t>https://www.instagram.com/conceptualtrading_official/</t>
  </si>
  <si>
    <t>Ritika</t>
  </si>
  <si>
    <t>https://www.instagram.com/msinfogirl29/</t>
  </si>
  <si>
    <t xml:space="preserve">Vaishali </t>
  </si>
  <si>
    <t>https://www.instagram.com/vaishali.talks/</t>
  </si>
  <si>
    <t>Be curious</t>
  </si>
  <si>
    <t>https://instagram.com/be._.curious_?igshid=YmMyMTA2M2Y=</t>
  </si>
  <si>
    <t>Rizwan Khan</t>
  </si>
  <si>
    <t>Personal Finance</t>
  </si>
  <si>
    <t>https://www.instagram.com/learnwithrizwank?igsh=MTN6cnk0cHpxYnB1aQ%3D%3D&amp;utm_source=qr</t>
  </si>
  <si>
    <t>Omkar</t>
  </si>
  <si>
    <t>https://www.instagram.com/the_engineer_trader/</t>
  </si>
  <si>
    <t>Kabir Mehrotra</t>
  </si>
  <si>
    <t>https://www.instagram.com/investwithkabir/?hl=en</t>
  </si>
  <si>
    <t>Simpli stocks Hindi (SEBI registered)</t>
  </si>
  <si>
    <t>https://www.instagram.com/simplistocks.hindi/</t>
  </si>
  <si>
    <t>Kritika</t>
  </si>
  <si>
    <t>https://www.instagram.com/sharmajiinvests</t>
  </si>
  <si>
    <t>Delhi (NCR)</t>
  </si>
  <si>
    <t>Sherbajario</t>
  </si>
  <si>
    <t>https://www.instagram.com/sherbajariyo/</t>
  </si>
  <si>
    <t>Rajneesh Sharma (SEBI registered)</t>
  </si>
  <si>
    <t>https://www.instagram.com/sharmaresearch/</t>
  </si>
  <si>
    <t>Kanika On Career</t>
  </si>
  <si>
    <t>https://www.instagram.com/kanikaoncareer/</t>
  </si>
  <si>
    <t>Vibhor Varshney (SEBI registered)</t>
  </si>
  <si>
    <t>https://www.instagram.com/nakulvibhor?igsh=ZDNlZDc0MzIxNw==</t>
  </si>
  <si>
    <t xml:space="preserve">Lokesh Pareek </t>
  </si>
  <si>
    <t>https://www.instagram.com/tradeswithlokesh?igsh=bDBrOXl1anl5aXVi</t>
  </si>
  <si>
    <t xml:space="preserve">Shubh Technical Research </t>
  </si>
  <si>
    <t>https://www.instagram.com/shubh_technical_research?igsh=MTF4MHJqb3VsaHpkbg==</t>
  </si>
  <si>
    <t>Rajasthan</t>
  </si>
  <si>
    <t>Akash Deep</t>
  </si>
  <si>
    <t>Real Estate</t>
  </si>
  <si>
    <t>https://www.instagram.com/propertytalkswithad/</t>
  </si>
  <si>
    <t>TBC</t>
  </si>
  <si>
    <t xml:space="preserve">Aditya Bisen </t>
  </si>
  <si>
    <t>https://www.instagram.com/aadi_profitis?igsh=cGZ1dmtxN3k4amQw&amp;utm_source=qr</t>
  </si>
  <si>
    <t>Oceans of Profit</t>
  </si>
  <si>
    <t>https://www.instagram.com/oceansofprofit/</t>
  </si>
  <si>
    <t>Rohan Sharma</t>
  </si>
  <si>
    <t>https://www.instagram.com/rohan.sharmaaa_?igsh=czN4czBoaXJ3MzZs&amp;utm_source=qr</t>
  </si>
  <si>
    <t>Money minded</t>
  </si>
  <si>
    <t>https://www.instagram.com/money_minded.official/</t>
  </si>
  <si>
    <t>Nisha Kularia</t>
  </si>
  <si>
    <t>https://www.instagram.com/nishakularia/</t>
  </si>
  <si>
    <t xml:space="preserve">Tushar Kakad </t>
  </si>
  <si>
    <t>https://www.instagram.com/tusharkakadfinance?utm_source=qr&amp;igsh=MTR4ZWwyMDE3bXFpdQ%3D%3D</t>
  </si>
  <si>
    <t>The Bald Trader</t>
  </si>
  <si>
    <t>https://www.instagram.com/the.bald.trader/</t>
  </si>
  <si>
    <t>Bhavika Jain</t>
  </si>
  <si>
    <t>https://instagram.com/getthaatbread?igshid=YmMyMTA2M2Y=</t>
  </si>
  <si>
    <t>Sunil Gurjar</t>
  </si>
  <si>
    <t>https://www.instagram.com/financewith.sunil/</t>
  </si>
  <si>
    <t xml:space="preserve">Anjali Sharma </t>
  </si>
  <si>
    <t>https://www.instagram.com/brandtalesbyanjali?igsh=MWc3MzU1Nm56eGdybg==</t>
  </si>
  <si>
    <t xml:space="preserve">Delhi </t>
  </si>
  <si>
    <t xml:space="preserve">Shiv Pandey </t>
  </si>
  <si>
    <t>https://www.instagram.com/shivvvpandey/?hl=en</t>
  </si>
  <si>
    <t>Trading Monks</t>
  </si>
  <si>
    <t>https://www.instagram.com/tradingmonks/</t>
  </si>
  <si>
    <t>Mayank on money</t>
  </si>
  <si>
    <t>https://www.instagram.com/mayankonmoney/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</si>
</sst>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color rgb="FFFFFFFF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1155CC"/>
      <name val="Arial"/>
    </font>
    <font>
      <u/>
      <sz val="11.0"/>
      <color rgb="FF1155CC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color rgb="FF0000FF"/>
    </font>
    <font>
      <color theme="1"/>
      <name val="Verdana"/>
    </font>
    <font>
      <u/>
      <sz val="11.0"/>
      <color rgb="FF0563C1"/>
      <name val="Calibri"/>
    </font>
    <font>
      <color rgb="FF1F1F1F"/>
      <name val="Arial"/>
    </font>
    <font>
      <u/>
      <sz val="11.0"/>
      <color rgb="FF0563C1"/>
      <name val="Calibri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ont="1">
      <alignment vertical="bottom"/>
    </xf>
    <xf borderId="2" fillId="2" fontId="2" numFmtId="0" xfId="0" applyAlignment="1" applyBorder="1" applyFont="1">
      <alignment horizontal="center" vertical="bottom"/>
    </xf>
    <xf borderId="2" fillId="3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shrinkToFit="0" vertical="bottom" wrapText="1"/>
    </xf>
    <xf borderId="1" fillId="4" fontId="1" numFmtId="0" xfId="0" applyAlignment="1" applyBorder="1" applyFill="1" applyFont="1">
      <alignment horizontal="center" vertical="bottom"/>
    </xf>
    <xf borderId="1" fillId="4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1" fillId="4" fontId="1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 vertical="bottom"/>
    </xf>
    <xf borderId="1" fillId="4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1" fillId="4" fontId="10" numFmtId="0" xfId="0" applyAlignment="1" applyBorder="1" applyFont="1">
      <alignment vertical="bottom"/>
    </xf>
    <xf borderId="1" fillId="4" fontId="11" numFmtId="0" xfId="0" applyAlignment="1" applyBorder="1" applyFont="1">
      <alignment readingOrder="0" vertical="bottom"/>
    </xf>
    <xf borderId="1" fillId="4" fontId="1" numFmtId="0" xfId="0" applyAlignment="1" applyBorder="1" applyFont="1">
      <alignment readingOrder="0" vertical="bottom"/>
    </xf>
    <xf borderId="1" fillId="4" fontId="12" numFmtId="0" xfId="0" applyAlignment="1" applyBorder="1" applyFont="1">
      <alignment readingOrder="0" vertical="bottom"/>
    </xf>
    <xf borderId="1" fillId="0" fontId="13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1" fillId="4" fontId="14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1" fillId="0" fontId="16" numFmtId="0" xfId="0" applyAlignment="1" applyBorder="1" applyFont="1">
      <alignment readingOrder="0" vertical="bottom"/>
    </xf>
    <xf borderId="1" fillId="0" fontId="17" numFmtId="0" xfId="0" applyAlignment="1" applyBorder="1" applyFont="1">
      <alignment readingOrder="0"/>
    </xf>
    <xf borderId="0" fillId="0" fontId="18" numFmtId="0" xfId="0" applyAlignment="1" applyFont="1">
      <alignment horizontal="center"/>
    </xf>
    <xf borderId="1" fillId="4" fontId="19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4" fontId="20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left" vertical="bottom"/>
    </xf>
    <xf borderId="0" fillId="4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22" numFmtId="0" xfId="0" applyAlignment="1" applyBorder="1" applyFont="1">
      <alignment vertical="bottom"/>
    </xf>
    <xf borderId="1" fillId="0" fontId="23" numFmtId="0" xfId="0" applyAlignment="1" applyBorder="1" applyFont="1">
      <alignment readingOrder="0" vertical="bottom"/>
    </xf>
    <xf borderId="0" fillId="4" fontId="18" numFmtId="0" xfId="0" applyFont="1"/>
    <xf borderId="0" fillId="0" fontId="18" numFmtId="0" xfId="0" applyAlignment="1" applyFont="1">
      <alignment horizontal="left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hiraghavarorajobs/?utm_source=ig_web_button_share_sheet" TargetMode="External"/><Relationship Id="rId42" Type="http://schemas.openxmlformats.org/officeDocument/2006/relationships/hyperlink" Target="https://www.instagram.com/rupeeswith_rohit?utm_source=ig_web_button_share_sheet&amp;igsh=ZDNlZDc0MzIxNw==" TargetMode="External"/><Relationship Id="rId41" Type="http://schemas.openxmlformats.org/officeDocument/2006/relationships/hyperlink" Target="https://www.instagram.com/topstocker24?igsh=MWN1NW5oMjN3MXRkYg==" TargetMode="External"/><Relationship Id="rId44" Type="http://schemas.openxmlformats.org/officeDocument/2006/relationships/hyperlink" Target="https://www.instagram.com/tejasjosh.i?igsh=MWt6dHZuMWdsM3RzZA==" TargetMode="External"/><Relationship Id="rId43" Type="http://schemas.openxmlformats.org/officeDocument/2006/relationships/hyperlink" Target="https://www.instagram.com/abhinav.trades/" TargetMode="External"/><Relationship Id="rId46" Type="http://schemas.openxmlformats.org/officeDocument/2006/relationships/hyperlink" Target="https://www.instagram.com/diwanmayur?utm_source=ig_web_button_share_sheet&amp;igsh=ZDNlZDc0MzIxNw==" TargetMode="External"/><Relationship Id="rId45" Type="http://schemas.openxmlformats.org/officeDocument/2006/relationships/hyperlink" Target="https://www.instagram.com/thisisrahulpatidar" TargetMode="External"/><Relationship Id="rId107" Type="http://schemas.openxmlformats.org/officeDocument/2006/relationships/hyperlink" Target="https://www.instagram.com/financewith.sunil/" TargetMode="External"/><Relationship Id="rId106" Type="http://schemas.openxmlformats.org/officeDocument/2006/relationships/hyperlink" Target="https://instagram.com/getthaatbread?igshid=YmMyMTA2M2Y=" TargetMode="External"/><Relationship Id="rId105" Type="http://schemas.openxmlformats.org/officeDocument/2006/relationships/hyperlink" Target="https://www.instagram.com/the.bald.trader/" TargetMode="External"/><Relationship Id="rId104" Type="http://schemas.openxmlformats.org/officeDocument/2006/relationships/hyperlink" Target="https://www.instagram.com/tusharkakadfinance?utm_source=qr&amp;igsh=MTR4ZWwyMDE3bXFpdQ%3D%3D" TargetMode="External"/><Relationship Id="rId109" Type="http://schemas.openxmlformats.org/officeDocument/2006/relationships/hyperlink" Target="https://www.instagram.com/shivvvpandey/?hl=en" TargetMode="External"/><Relationship Id="rId108" Type="http://schemas.openxmlformats.org/officeDocument/2006/relationships/hyperlink" Target="https://www.instagram.com/brandtalesbyanjali?igsh=MWc3MzU1Nm56eGdybg==" TargetMode="External"/><Relationship Id="rId48" Type="http://schemas.openxmlformats.org/officeDocument/2006/relationships/hyperlink" Target="https://www.instagram.com/gaurav.mahawar.ig?igsh=cGliejl2dnM1aXhw" TargetMode="External"/><Relationship Id="rId47" Type="http://schemas.openxmlformats.org/officeDocument/2006/relationships/hyperlink" Target="https://www.instagram.com/investify_me?igsh=a2QzeHJybXhyZW5p" TargetMode="External"/><Relationship Id="rId49" Type="http://schemas.openxmlformats.org/officeDocument/2006/relationships/hyperlink" Target="https://www.instagram.com/shailesh_aryann/?hl=en" TargetMode="External"/><Relationship Id="rId103" Type="http://schemas.openxmlformats.org/officeDocument/2006/relationships/hyperlink" Target="https://www.instagram.com/nishakularia/" TargetMode="External"/><Relationship Id="rId102" Type="http://schemas.openxmlformats.org/officeDocument/2006/relationships/hyperlink" Target="https://www.instagram.com/money_minded.official/" TargetMode="External"/><Relationship Id="rId101" Type="http://schemas.openxmlformats.org/officeDocument/2006/relationships/hyperlink" Target="https://www.instagram.com/rohan.sharmaaa_?igsh=czN4czBoaXJ3MzZs&amp;utm_source=qr" TargetMode="External"/><Relationship Id="rId100" Type="http://schemas.openxmlformats.org/officeDocument/2006/relationships/hyperlink" Target="https://www.instagram.com/oceansofprofit/" TargetMode="External"/><Relationship Id="rId31" Type="http://schemas.openxmlformats.org/officeDocument/2006/relationships/hyperlink" Target="https://www.instagram.com/shashwat_amrev/" TargetMode="External"/><Relationship Id="rId30" Type="http://schemas.openxmlformats.org/officeDocument/2006/relationships/hyperlink" Target="https://instagram.com/thegauravghai?igshid=MzRlODBiNWFlZA==" TargetMode="External"/><Relationship Id="rId33" Type="http://schemas.openxmlformats.org/officeDocument/2006/relationships/hyperlink" Target="https://www.instagram.com/cyber_detectives?utm_source=ig_web_button_share_sheet&amp;igsh=ZDNlZDc0MzIxNw==" TargetMode="External"/><Relationship Id="rId32" Type="http://schemas.openxmlformats.org/officeDocument/2006/relationships/hyperlink" Target="https://www.instagram.com/rochit.unfiltered?utm_source=ig_web_button_share_sheet&amp;igsh=ZDNlZDc0MzIxNw==" TargetMode="External"/><Relationship Id="rId35" Type="http://schemas.openxmlformats.org/officeDocument/2006/relationships/hyperlink" Target="https://www.instagram.com/divyanshu.jain/?hl=en" TargetMode="External"/><Relationship Id="rId34" Type="http://schemas.openxmlformats.org/officeDocument/2006/relationships/hyperlink" Target="https://www.instagram.com/ketanmaliofficial/" TargetMode="External"/><Relationship Id="rId37" Type="http://schemas.openxmlformats.org/officeDocument/2006/relationships/hyperlink" Target="https://www.instagram.com/manish_ag_finance?utm_source=ig_web_button_share_sheet&amp;igsh=ZDNlZDc0MzIxNw==" TargetMode="External"/><Relationship Id="rId36" Type="http://schemas.openxmlformats.org/officeDocument/2006/relationships/hyperlink" Target="https://www.instagram.com/themukulagrawal?igsh=NjhhdDh6aGpudmpt" TargetMode="External"/><Relationship Id="rId39" Type="http://schemas.openxmlformats.org/officeDocument/2006/relationships/hyperlink" Target="https://www.instagram.com/gujrati_trader/" TargetMode="External"/><Relationship Id="rId38" Type="http://schemas.openxmlformats.org/officeDocument/2006/relationships/hyperlink" Target="https://www.instagram.com/legitfinancials/" TargetMode="External"/><Relationship Id="rId20" Type="http://schemas.openxmlformats.org/officeDocument/2006/relationships/hyperlink" Target="https://instagram.com/vibhashkhattri?igshid=MzRlODBiNWFlZA==" TargetMode="External"/><Relationship Id="rId22" Type="http://schemas.openxmlformats.org/officeDocument/2006/relationships/hyperlink" Target="https://instagram.com/thepocketpro_?igshid=MzRlODBiNWFlZA==" TargetMode="External"/><Relationship Id="rId21" Type="http://schemas.openxmlformats.org/officeDocument/2006/relationships/hyperlink" Target="https://www.instagram.com/arpitsharmai/?hl=en" TargetMode="External"/><Relationship Id="rId24" Type="http://schemas.openxmlformats.org/officeDocument/2006/relationships/hyperlink" Target="https://instagram.com/chahalvermaa?igshid=MzRlODBiNWFlZA==" TargetMode="External"/><Relationship Id="rId23" Type="http://schemas.openxmlformats.org/officeDocument/2006/relationships/hyperlink" Target="https://instagram.com/financewitharun?igshid=OGQ2MjdiOTE=" TargetMode="External"/><Relationship Id="rId26" Type="http://schemas.openxmlformats.org/officeDocument/2006/relationships/hyperlink" Target="https://www.instagram.com/wealthboard_/" TargetMode="External"/><Relationship Id="rId25" Type="http://schemas.openxmlformats.org/officeDocument/2006/relationships/hyperlink" Target="https://www.instagram.com/bossofstockmarket?utm_source=ig_web_button_share_sheet&amp;igsh=ZDNlZDc0MzIxNw==" TargetMode="External"/><Relationship Id="rId28" Type="http://schemas.openxmlformats.org/officeDocument/2006/relationships/hyperlink" Target="https://www.instagram.com/ca.ishajaiswal?igsh=MXFwMzFzbmM1bXluaw==" TargetMode="External"/><Relationship Id="rId27" Type="http://schemas.openxmlformats.org/officeDocument/2006/relationships/hyperlink" Target="https://instagram.com/tarunmalhotraaa?igshid=MzRlODBiNWFlZA==" TargetMode="External"/><Relationship Id="rId29" Type="http://schemas.openxmlformats.org/officeDocument/2006/relationships/hyperlink" Target="https://www.instagram.com/uzaironomics/" TargetMode="External"/><Relationship Id="rId95" Type="http://schemas.openxmlformats.org/officeDocument/2006/relationships/hyperlink" Target="https://www.instagram.com/nakulvibhor?utm_source=ig_web_button_share_sheet&amp;igsh=ZDNlZDc0MzIxNw==" TargetMode="External"/><Relationship Id="rId94" Type="http://schemas.openxmlformats.org/officeDocument/2006/relationships/hyperlink" Target="https://www.instagram.com/kanikaoncareer/" TargetMode="External"/><Relationship Id="rId97" Type="http://schemas.openxmlformats.org/officeDocument/2006/relationships/hyperlink" Target="https://www.instagram.com/shubh_technical_research?igsh=MTF4MHJqb3VsaHpkbg==" TargetMode="External"/><Relationship Id="rId96" Type="http://schemas.openxmlformats.org/officeDocument/2006/relationships/hyperlink" Target="https://www.instagram.com/tradeswithlokesh?igsh=bDBrOXl1anl5aXVi" TargetMode="External"/><Relationship Id="rId11" Type="http://schemas.openxmlformats.org/officeDocument/2006/relationships/hyperlink" Target="https://instagram.com/harshaksinha?igshid=NzZhOTFlYzFmZQ==" TargetMode="External"/><Relationship Id="rId99" Type="http://schemas.openxmlformats.org/officeDocument/2006/relationships/hyperlink" Target="https://www.instagram.com/aadi_profitis?igsh=cGZ1dmtxN3k4amQw&amp;utm_source=qr" TargetMode="External"/><Relationship Id="rId10" Type="http://schemas.openxmlformats.org/officeDocument/2006/relationships/hyperlink" Target="https://www.instagram.com/anantladha1234/?hl=en" TargetMode="External"/><Relationship Id="rId98" Type="http://schemas.openxmlformats.org/officeDocument/2006/relationships/hyperlink" Target="https://www.instagram.com/propertytalkswithad/" TargetMode="External"/><Relationship Id="rId13" Type="http://schemas.openxmlformats.org/officeDocument/2006/relationships/hyperlink" Target="https://www.instagram.com/riyaelity?utm_source=ig_web_button_share_sheet&amp;igsh=ZDNlZDc0MzIxNw==" TargetMode="External"/><Relationship Id="rId12" Type="http://schemas.openxmlformats.org/officeDocument/2006/relationships/hyperlink" Target="https://www.instagram.com/viral_sakhiya/" TargetMode="External"/><Relationship Id="rId91" Type="http://schemas.openxmlformats.org/officeDocument/2006/relationships/hyperlink" Target="https://www.instagram.com/sharmajiinvests" TargetMode="External"/><Relationship Id="rId90" Type="http://schemas.openxmlformats.org/officeDocument/2006/relationships/hyperlink" Target="https://www.instagram.com/simplistocks.hindi/" TargetMode="External"/><Relationship Id="rId93" Type="http://schemas.openxmlformats.org/officeDocument/2006/relationships/hyperlink" Target="https://www.instagram.com/sharmaresearch/" TargetMode="External"/><Relationship Id="rId92" Type="http://schemas.openxmlformats.org/officeDocument/2006/relationships/hyperlink" Target="https://www.instagram.com/sherbajariyo/" TargetMode="External"/><Relationship Id="rId15" Type="http://schemas.openxmlformats.org/officeDocument/2006/relationships/hyperlink" Target="https://www.instagram.com/careerwithriya?igsh=Ym9kd2FoM3RpYmt5" TargetMode="External"/><Relationship Id="rId110" Type="http://schemas.openxmlformats.org/officeDocument/2006/relationships/hyperlink" Target="https://www.instagram.com/tradingmonks/" TargetMode="External"/><Relationship Id="rId14" Type="http://schemas.openxmlformats.org/officeDocument/2006/relationships/hyperlink" Target="https://www.instagram.com/stockswithmanveer" TargetMode="External"/><Relationship Id="rId17" Type="http://schemas.openxmlformats.org/officeDocument/2006/relationships/hyperlink" Target="https://www.instagram.com/thewillpowerstar/" TargetMode="External"/><Relationship Id="rId16" Type="http://schemas.openxmlformats.org/officeDocument/2006/relationships/hyperlink" Target="https://www.instagram.com/fin_saheli?igsh=d2tqcWVuZGlvbDZh" TargetMode="External"/><Relationship Id="rId19" Type="http://schemas.openxmlformats.org/officeDocument/2006/relationships/hyperlink" Target="https://www.instagram.com/mohmayaonfinance/" TargetMode="External"/><Relationship Id="rId18" Type="http://schemas.openxmlformats.org/officeDocument/2006/relationships/hyperlink" Target="https://www.instagram.com/bhanu_pathak?utm_source=ig_web_button_share_sheet&amp;igsh=ZDNlZDc0MzIxNw==" TargetMode="External"/><Relationship Id="rId112" Type="http://schemas.openxmlformats.org/officeDocument/2006/relationships/drawing" Target="../drawings/drawing1.xml"/><Relationship Id="rId111" Type="http://schemas.openxmlformats.org/officeDocument/2006/relationships/hyperlink" Target="https://www.instagram.com/mayankonmoney/" TargetMode="External"/><Relationship Id="rId84" Type="http://schemas.openxmlformats.org/officeDocument/2006/relationships/hyperlink" Target="https://www.instagram.com/msinfogirl29/" TargetMode="External"/><Relationship Id="rId83" Type="http://schemas.openxmlformats.org/officeDocument/2006/relationships/hyperlink" Target="https://www.instagram.com/conceptualtrading_official/" TargetMode="External"/><Relationship Id="rId86" Type="http://schemas.openxmlformats.org/officeDocument/2006/relationships/hyperlink" Target="https://instagram.com/be._.curious_?igshid=YmMyMTA2M2Y=" TargetMode="External"/><Relationship Id="rId85" Type="http://schemas.openxmlformats.org/officeDocument/2006/relationships/hyperlink" Target="https://www.instagram.com/vaishali.talks/" TargetMode="External"/><Relationship Id="rId88" Type="http://schemas.openxmlformats.org/officeDocument/2006/relationships/hyperlink" Target="https://www.instagram.com/the_engineer_trader/" TargetMode="External"/><Relationship Id="rId87" Type="http://schemas.openxmlformats.org/officeDocument/2006/relationships/hyperlink" Target="https://www.instagram.com/learnwithrizwank?igsh=MTN6cnk0cHpxYnB1aQ%3D%3D&amp;utm_source=qr" TargetMode="External"/><Relationship Id="rId89" Type="http://schemas.openxmlformats.org/officeDocument/2006/relationships/hyperlink" Target="https://www.instagram.com/investwithkabir/?hl=en" TargetMode="External"/><Relationship Id="rId80" Type="http://schemas.openxmlformats.org/officeDocument/2006/relationships/hyperlink" Target="https://www.instagram.com/jaisara_finance?igsh=NzVkdzVpcXpyY3Zz" TargetMode="External"/><Relationship Id="rId82" Type="http://schemas.openxmlformats.org/officeDocument/2006/relationships/hyperlink" Target="https://instagram.com/myeverydayinvestor?igshid=YmMyMTA2M2Y=" TargetMode="External"/><Relationship Id="rId81" Type="http://schemas.openxmlformats.org/officeDocument/2006/relationships/hyperlink" Target="https://www.instagram.com/insightswallah?igsh=MWlsMzB4cTE3c200aw==" TargetMode="External"/><Relationship Id="rId1" Type="http://schemas.openxmlformats.org/officeDocument/2006/relationships/hyperlink" Target="https://instagram.com/abhishekkarofficial?igshid=MTI1ZDU5ODQ3Yw==" TargetMode="External"/><Relationship Id="rId2" Type="http://schemas.openxmlformats.org/officeDocument/2006/relationships/hyperlink" Target="https://www.instagram.com/coachsagarsinha?utm_source=ig_web_button_share_sheet&amp;igsh=ZDNlZDc0MzIxNw==" TargetMode="External"/><Relationship Id="rId3" Type="http://schemas.openxmlformats.org/officeDocument/2006/relationships/hyperlink" Target="https://www.instagram.com/rochit__singh/" TargetMode="External"/><Relationship Id="rId4" Type="http://schemas.openxmlformats.org/officeDocument/2006/relationships/hyperlink" Target="https://www.instagram.com/rahulmalodiaofficial?utm_source=ig_web_button_share_sheet&amp;igsh=ZDNlZDc0MzIxNw==" TargetMode="External"/><Relationship Id="rId9" Type="http://schemas.openxmlformats.org/officeDocument/2006/relationships/hyperlink" Target="https://www.instagram.com/rise_with_rahul?utm_source=ig_web_button_share_sheet&amp;igsh=ZDNlZDc0MzIxNw==" TargetMode="External"/><Relationship Id="rId5" Type="http://schemas.openxmlformats.org/officeDocument/2006/relationships/hyperlink" Target="https://instagram.com/ca.sakchijain?igshid=OGQ5ZDc2ODk2ZA==" TargetMode="External"/><Relationship Id="rId6" Type="http://schemas.openxmlformats.org/officeDocument/2006/relationships/hyperlink" Target="https://www.instagram.com/financebysanjay/" TargetMode="External"/><Relationship Id="rId7" Type="http://schemas.openxmlformats.org/officeDocument/2006/relationships/hyperlink" Target="https://www.instagram.com/deepakwadhwa.official?utm_source=ig_web_button_share_sheet&amp;igsh=ZDNlZDc0MzIxNw==" TargetMode="External"/><Relationship Id="rId8" Type="http://schemas.openxmlformats.org/officeDocument/2006/relationships/hyperlink" Target="https://www.instagram.com/prettymuchfinance/" TargetMode="External"/><Relationship Id="rId73" Type="http://schemas.openxmlformats.org/officeDocument/2006/relationships/hyperlink" Target="https://instagram.com/kaushaltalks?igshid=YmMyMTA2M2Y=" TargetMode="External"/><Relationship Id="rId72" Type="http://schemas.openxmlformats.org/officeDocument/2006/relationships/hyperlink" Target="https://www.instagram.com/financewithsonal_/profilecard/?igsh=cW92MjJ0aTlzYWli" TargetMode="External"/><Relationship Id="rId75" Type="http://schemas.openxmlformats.org/officeDocument/2006/relationships/hyperlink" Target="https://www.instagram.com/allseasontraders/" TargetMode="External"/><Relationship Id="rId74" Type="http://schemas.openxmlformats.org/officeDocument/2006/relationships/hyperlink" Target="https://www.instagram.com/moneytalkswithaj?igsh=MTlsdm11eHloYmo3eA==" TargetMode="External"/><Relationship Id="rId77" Type="http://schemas.openxmlformats.org/officeDocument/2006/relationships/hyperlink" Target="https://www.instagram.com/abhishek_tiwari20/" TargetMode="External"/><Relationship Id="rId76" Type="http://schemas.openxmlformats.org/officeDocument/2006/relationships/hyperlink" Target="https://www.instagram.com/rajeevfinance" TargetMode="External"/><Relationship Id="rId79" Type="http://schemas.openxmlformats.org/officeDocument/2006/relationships/hyperlink" Target="https://www.instagram.com/invest.with.anurag?utm_source=ig_web_button_share_sheet&amp;igsh=ZDNlZDc0MzIxNw==" TargetMode="External"/><Relationship Id="rId78" Type="http://schemas.openxmlformats.org/officeDocument/2006/relationships/hyperlink" Target="https://www.instagram.com/letsbrandbharat?utm_source=ig_web_button_share_sheet&amp;igsh=ZDNlZDc0MzIxNw==" TargetMode="External"/><Relationship Id="rId71" Type="http://schemas.openxmlformats.org/officeDocument/2006/relationships/hyperlink" Target="https://www.instagram.com/mazedarfinance/" TargetMode="External"/><Relationship Id="rId70" Type="http://schemas.openxmlformats.org/officeDocument/2006/relationships/hyperlink" Target="https://www.instagram.com/adi__arora/" TargetMode="External"/><Relationship Id="rId62" Type="http://schemas.openxmlformats.org/officeDocument/2006/relationships/hyperlink" Target="https://www.instagram.com/sarthak_academyy/" TargetMode="External"/><Relationship Id="rId61" Type="http://schemas.openxmlformats.org/officeDocument/2006/relationships/hyperlink" Target="https://www.instagram.com/shahidkhan0911?utm_source=ig_web_button_share_sheet&amp;igsh=ZDNlZDc0MzIxNw==" TargetMode="External"/><Relationship Id="rId64" Type="http://schemas.openxmlformats.org/officeDocument/2006/relationships/hyperlink" Target="https://www.instagram.com/ladydoctor.sadaf/" TargetMode="External"/><Relationship Id="rId63" Type="http://schemas.openxmlformats.org/officeDocument/2006/relationships/hyperlink" Target="https://instagram.com/its_sahilverma31?igshid=MGNiNDI5ZTU=" TargetMode="External"/><Relationship Id="rId66" Type="http://schemas.openxmlformats.org/officeDocument/2006/relationships/hyperlink" Target="https://instagram.com/mr.talkstock?igshid=YmMyMTA2M2Y=" TargetMode="External"/><Relationship Id="rId65" Type="http://schemas.openxmlformats.org/officeDocument/2006/relationships/hyperlink" Target="https://www.instagram.com/investor.ashishh/" TargetMode="External"/><Relationship Id="rId68" Type="http://schemas.openxmlformats.org/officeDocument/2006/relationships/hyperlink" Target="https://www.instagram.com/rajtalksmoney" TargetMode="External"/><Relationship Id="rId67" Type="http://schemas.openxmlformats.org/officeDocument/2006/relationships/hyperlink" Target="https://www.instagram.com/arpan.kukreja/" TargetMode="External"/><Relationship Id="rId60" Type="http://schemas.openxmlformats.org/officeDocument/2006/relationships/hyperlink" Target="https://www.instagram.com/pankajladha_/" TargetMode="External"/><Relationship Id="rId69" Type="http://schemas.openxmlformats.org/officeDocument/2006/relationships/hyperlink" Target="https://www.instagram.com/shetalks_finance?igsh=N2IwZmVpY2ZzdzFp" TargetMode="External"/><Relationship Id="rId51" Type="http://schemas.openxmlformats.org/officeDocument/2006/relationships/hyperlink" Target="https://www.instagram.com/accurate_arun/?hl=en" TargetMode="External"/><Relationship Id="rId50" Type="http://schemas.openxmlformats.org/officeDocument/2006/relationships/hyperlink" Target="https://www.instagram.com/simplistocks/" TargetMode="External"/><Relationship Id="rId53" Type="http://schemas.openxmlformats.org/officeDocument/2006/relationships/hyperlink" Target="https://www.instagram.com/manveerr.singh/" TargetMode="External"/><Relationship Id="rId52" Type="http://schemas.openxmlformats.org/officeDocument/2006/relationships/hyperlink" Target="https://www.instagram.com/themansichopra?igsh=aGlpanczYmNjeDhq" TargetMode="External"/><Relationship Id="rId55" Type="http://schemas.openxmlformats.org/officeDocument/2006/relationships/hyperlink" Target="https://www.instagram.com/godigitalwithaakriti/" TargetMode="External"/><Relationship Id="rId54" Type="http://schemas.openxmlformats.org/officeDocument/2006/relationships/hyperlink" Target="https://www.instagram.com/desifinanceduo?igsh=eWtvaHVyb21saDE3" TargetMode="External"/><Relationship Id="rId57" Type="http://schemas.openxmlformats.org/officeDocument/2006/relationships/hyperlink" Target="https://www.instagram.com/amarkhannatrades/?hl=en" TargetMode="External"/><Relationship Id="rId56" Type="http://schemas.openxmlformats.org/officeDocument/2006/relationships/hyperlink" Target="https://www.instagram.com/financialadda.co.in/" TargetMode="External"/><Relationship Id="rId59" Type="http://schemas.openxmlformats.org/officeDocument/2006/relationships/hyperlink" Target="https://www.instagram.com/diptimaisahoo4/" TargetMode="External"/><Relationship Id="rId58" Type="http://schemas.openxmlformats.org/officeDocument/2006/relationships/hyperlink" Target="https://instagram.com/hardikbhatia.in?igshid=MzRlODBiNWFlZ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13"/>
    <col customWidth="1" min="2" max="2" width="33.75"/>
    <col customWidth="1" min="3" max="3" width="11.25"/>
    <col customWidth="1" min="4" max="4" width="23.0"/>
    <col customWidth="1" min="5" max="5" width="91.5"/>
    <col customWidth="1" min="6" max="6" width="27.0"/>
    <col customWidth="1" min="7" max="7" width="7.75"/>
    <col customWidth="1" min="8" max="8" width="12.13"/>
    <col customWidth="1" min="9" max="9" width="34.5"/>
    <col customWidth="1" min="10" max="10" width="23.5"/>
    <col customWidth="1" min="11" max="11" width="21.13"/>
    <col customWidth="1" min="12" max="12" width="18.13"/>
    <col customWidth="1" min="13" max="26" width="10.5"/>
  </cols>
  <sheetData>
    <row r="1" ht="17.25" customHeight="1">
      <c r="A1" s="1" t="s">
        <v>0</v>
      </c>
      <c r="B1" s="2"/>
      <c r="C1" s="3"/>
      <c r="D1" s="4" t="s">
        <v>1</v>
      </c>
      <c r="E1" s="5"/>
      <c r="F1" s="6"/>
      <c r="G1" s="2"/>
      <c r="H1" s="2"/>
      <c r="I1" s="2"/>
      <c r="J1" s="2"/>
      <c r="K1" s="2"/>
      <c r="L1" s="2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9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>
        <v>1.0</v>
      </c>
      <c r="B3" s="12" t="s">
        <v>14</v>
      </c>
      <c r="C3" s="13">
        <v>3000000.0</v>
      </c>
      <c r="D3" s="14" t="s">
        <v>15</v>
      </c>
      <c r="E3" s="15" t="s">
        <v>16</v>
      </c>
      <c r="F3" s="16">
        <v>700000.0</v>
      </c>
      <c r="G3" s="13">
        <f>F3*40%</f>
        <v>280000</v>
      </c>
      <c r="H3" s="13">
        <f t="shared" ref="H3:H8" si="1">G3*1.5</f>
        <v>420000</v>
      </c>
      <c r="I3" s="13">
        <f t="shared" ref="I3:I33" si="2">G3</f>
        <v>280000</v>
      </c>
      <c r="J3" s="16">
        <v>600000.0</v>
      </c>
      <c r="K3" s="13">
        <f t="shared" ref="K3:K7" si="3">F3*30%</f>
        <v>210000</v>
      </c>
      <c r="L3" s="13" t="s">
        <v>17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>
        <f t="shared" ref="A4:A113" si="4">A3+1</f>
        <v>2</v>
      </c>
      <c r="B4" s="12" t="s">
        <v>18</v>
      </c>
      <c r="C4" s="13">
        <v>2800000.0</v>
      </c>
      <c r="D4" s="14" t="s">
        <v>19</v>
      </c>
      <c r="E4" s="15" t="s">
        <v>20</v>
      </c>
      <c r="F4" s="16">
        <v>600000.0</v>
      </c>
      <c r="G4" s="13">
        <f>F4*30%</f>
        <v>180000</v>
      </c>
      <c r="H4" s="13">
        <f t="shared" si="1"/>
        <v>270000</v>
      </c>
      <c r="I4" s="13">
        <f t="shared" si="2"/>
        <v>180000</v>
      </c>
      <c r="J4" s="16">
        <v>800000.0</v>
      </c>
      <c r="K4" s="13">
        <f t="shared" si="3"/>
        <v>180000</v>
      </c>
      <c r="L4" s="13" t="s">
        <v>21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>
        <f t="shared" si="4"/>
        <v>3</v>
      </c>
      <c r="B5" s="12" t="s">
        <v>22</v>
      </c>
      <c r="C5" s="11">
        <v>2300000.0</v>
      </c>
      <c r="D5" s="14" t="s">
        <v>15</v>
      </c>
      <c r="E5" s="15" t="s">
        <v>23</v>
      </c>
      <c r="F5" s="13">
        <v>250000.0</v>
      </c>
      <c r="G5" s="13">
        <f>F5*40%</f>
        <v>100000</v>
      </c>
      <c r="H5" s="13">
        <f t="shared" si="1"/>
        <v>150000</v>
      </c>
      <c r="I5" s="13">
        <f t="shared" si="2"/>
        <v>100000</v>
      </c>
      <c r="J5" s="13">
        <f t="shared" ref="J5:J33" si="5">I5*1.5</f>
        <v>150000</v>
      </c>
      <c r="K5" s="13">
        <f t="shared" si="3"/>
        <v>75000</v>
      </c>
      <c r="L5" s="13" t="s">
        <v>24</v>
      </c>
      <c r="M5" s="7"/>
      <c r="N5" s="7"/>
      <c r="O5" s="1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>
        <f t="shared" si="4"/>
        <v>4</v>
      </c>
      <c r="B6" s="12" t="s">
        <v>25</v>
      </c>
      <c r="C6" s="11">
        <v>1900000.0</v>
      </c>
      <c r="D6" s="14" t="s">
        <v>19</v>
      </c>
      <c r="E6" s="15" t="s">
        <v>26</v>
      </c>
      <c r="F6" s="13">
        <v>550000.0</v>
      </c>
      <c r="G6" s="13">
        <f t="shared" ref="G6:G7" si="6">F6*30%</f>
        <v>165000</v>
      </c>
      <c r="H6" s="13">
        <f t="shared" si="1"/>
        <v>247500</v>
      </c>
      <c r="I6" s="13">
        <f t="shared" si="2"/>
        <v>165000</v>
      </c>
      <c r="J6" s="13">
        <f t="shared" si="5"/>
        <v>247500</v>
      </c>
      <c r="K6" s="13">
        <f t="shared" si="3"/>
        <v>165000</v>
      </c>
      <c r="L6" s="13" t="s">
        <v>27</v>
      </c>
      <c r="M6" s="7"/>
      <c r="N6" s="7"/>
      <c r="O6" s="1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>
        <f t="shared" si="4"/>
        <v>5</v>
      </c>
      <c r="B7" s="12" t="s">
        <v>28</v>
      </c>
      <c r="C7" s="11">
        <v>1800000.0</v>
      </c>
      <c r="D7" s="12" t="s">
        <v>29</v>
      </c>
      <c r="E7" s="15" t="s">
        <v>30</v>
      </c>
      <c r="F7" s="16">
        <v>520000.0</v>
      </c>
      <c r="G7" s="13">
        <f t="shared" si="6"/>
        <v>156000</v>
      </c>
      <c r="H7" s="13">
        <f t="shared" si="1"/>
        <v>234000</v>
      </c>
      <c r="I7" s="13">
        <f t="shared" si="2"/>
        <v>156000</v>
      </c>
      <c r="J7" s="13">
        <f t="shared" si="5"/>
        <v>234000</v>
      </c>
      <c r="K7" s="13">
        <f t="shared" si="3"/>
        <v>156000</v>
      </c>
      <c r="L7" s="13" t="s">
        <v>31</v>
      </c>
      <c r="M7" s="7"/>
      <c r="N7" s="7"/>
      <c r="O7" s="17"/>
      <c r="P7" s="1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>
        <f t="shared" si="4"/>
        <v>6</v>
      </c>
      <c r="B8" s="12" t="s">
        <v>32</v>
      </c>
      <c r="C8" s="11">
        <v>1600000.0</v>
      </c>
      <c r="D8" s="14" t="s">
        <v>15</v>
      </c>
      <c r="E8" s="15" t="s">
        <v>33</v>
      </c>
      <c r="F8" s="16">
        <v>600000.0</v>
      </c>
      <c r="G8" s="13">
        <f t="shared" ref="G8:G10" si="7">F8*40%</f>
        <v>240000</v>
      </c>
      <c r="H8" s="13">
        <f t="shared" si="1"/>
        <v>360000</v>
      </c>
      <c r="I8" s="13">
        <f t="shared" si="2"/>
        <v>240000</v>
      </c>
      <c r="J8" s="13">
        <f t="shared" si="5"/>
        <v>360000</v>
      </c>
      <c r="K8" s="16">
        <v>150000.0</v>
      </c>
      <c r="L8" s="13" t="s">
        <v>21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>
        <f t="shared" si="4"/>
        <v>7</v>
      </c>
      <c r="B9" s="12" t="s">
        <v>34</v>
      </c>
      <c r="C9" s="11">
        <v>1400000.0</v>
      </c>
      <c r="D9" s="14" t="s">
        <v>15</v>
      </c>
      <c r="E9" s="15" t="s">
        <v>35</v>
      </c>
      <c r="F9" s="16">
        <v>400000.0</v>
      </c>
      <c r="G9" s="13">
        <f t="shared" si="7"/>
        <v>160000</v>
      </c>
      <c r="H9" s="13">
        <v>120000.0</v>
      </c>
      <c r="I9" s="13">
        <f t="shared" si="2"/>
        <v>160000</v>
      </c>
      <c r="J9" s="13">
        <f t="shared" si="5"/>
        <v>240000</v>
      </c>
      <c r="K9" s="13">
        <f t="shared" ref="K9:K33" si="8">F9*30%</f>
        <v>120000</v>
      </c>
      <c r="L9" s="13" t="s">
        <v>36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>
        <f t="shared" si="4"/>
        <v>8</v>
      </c>
      <c r="B10" s="12" t="s">
        <v>37</v>
      </c>
      <c r="C10" s="18">
        <v>1400000.0</v>
      </c>
      <c r="D10" s="12" t="s">
        <v>29</v>
      </c>
      <c r="E10" s="19" t="s">
        <v>38</v>
      </c>
      <c r="F10" s="16">
        <v>300000.0</v>
      </c>
      <c r="G10" s="13">
        <f t="shared" si="7"/>
        <v>120000</v>
      </c>
      <c r="H10" s="13">
        <f t="shared" ref="H10:H33" si="9">G10*1.5</f>
        <v>180000</v>
      </c>
      <c r="I10" s="13">
        <f t="shared" si="2"/>
        <v>120000</v>
      </c>
      <c r="J10" s="13">
        <f t="shared" si="5"/>
        <v>180000</v>
      </c>
      <c r="K10" s="13">
        <f t="shared" si="8"/>
        <v>90000</v>
      </c>
      <c r="L10" s="13" t="s">
        <v>21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>
        <f t="shared" si="4"/>
        <v>9</v>
      </c>
      <c r="B11" s="12" t="s">
        <v>39</v>
      </c>
      <c r="C11" s="11">
        <v>1200000.0</v>
      </c>
      <c r="D11" s="14" t="s">
        <v>19</v>
      </c>
      <c r="E11" s="15" t="s">
        <v>40</v>
      </c>
      <c r="F11" s="16">
        <v>120000.0</v>
      </c>
      <c r="G11" s="13">
        <f>F11*30%</f>
        <v>36000</v>
      </c>
      <c r="H11" s="13">
        <f t="shared" si="9"/>
        <v>54000</v>
      </c>
      <c r="I11" s="13">
        <f t="shared" si="2"/>
        <v>36000</v>
      </c>
      <c r="J11" s="13">
        <f t="shared" si="5"/>
        <v>54000</v>
      </c>
      <c r="K11" s="13">
        <f t="shared" si="8"/>
        <v>36000</v>
      </c>
      <c r="L11" s="13" t="s">
        <v>36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>
        <f t="shared" si="4"/>
        <v>10</v>
      </c>
      <c r="B12" s="12" t="s">
        <v>41</v>
      </c>
      <c r="C12" s="20">
        <v>1200000.0</v>
      </c>
      <c r="D12" s="21" t="s">
        <v>15</v>
      </c>
      <c r="E12" s="22" t="s">
        <v>42</v>
      </c>
      <c r="F12" s="16">
        <v>350000.0</v>
      </c>
      <c r="G12" s="23">
        <f>F12*60%</f>
        <v>210000</v>
      </c>
      <c r="H12" s="23">
        <f t="shared" si="9"/>
        <v>315000</v>
      </c>
      <c r="I12" s="23">
        <f t="shared" si="2"/>
        <v>210000</v>
      </c>
      <c r="J12" s="23">
        <f t="shared" si="5"/>
        <v>315000</v>
      </c>
      <c r="K12" s="23">
        <f t="shared" si="8"/>
        <v>105000</v>
      </c>
      <c r="L12" s="23" t="s">
        <v>43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11">
        <f t="shared" si="4"/>
        <v>11</v>
      </c>
      <c r="B13" s="12" t="s">
        <v>44</v>
      </c>
      <c r="C13" s="11">
        <v>1100000.0</v>
      </c>
      <c r="D13" s="14" t="s">
        <v>19</v>
      </c>
      <c r="E13" s="15" t="s">
        <v>45</v>
      </c>
      <c r="F13" s="13">
        <v>200000.0</v>
      </c>
      <c r="G13" s="13">
        <v>80000.0</v>
      </c>
      <c r="H13" s="13">
        <f t="shared" si="9"/>
        <v>120000</v>
      </c>
      <c r="I13" s="13">
        <f t="shared" si="2"/>
        <v>80000</v>
      </c>
      <c r="J13" s="13">
        <f t="shared" si="5"/>
        <v>120000</v>
      </c>
      <c r="K13" s="13">
        <f t="shared" si="8"/>
        <v>60000</v>
      </c>
      <c r="L13" s="13" t="s">
        <v>46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>
        <f t="shared" si="4"/>
        <v>12</v>
      </c>
      <c r="B14" s="12" t="s">
        <v>47</v>
      </c>
      <c r="C14" s="11">
        <v>1100000.0</v>
      </c>
      <c r="D14" s="14" t="s">
        <v>19</v>
      </c>
      <c r="E14" s="25" t="s">
        <v>48</v>
      </c>
      <c r="F14" s="16">
        <v>120000.0</v>
      </c>
      <c r="G14" s="13">
        <f>F14*30%</f>
        <v>36000</v>
      </c>
      <c r="H14" s="13">
        <f t="shared" si="9"/>
        <v>54000</v>
      </c>
      <c r="I14" s="13">
        <f t="shared" si="2"/>
        <v>36000</v>
      </c>
      <c r="J14" s="13">
        <f t="shared" si="5"/>
        <v>54000</v>
      </c>
      <c r="K14" s="13">
        <f t="shared" si="8"/>
        <v>36000</v>
      </c>
      <c r="L14" s="13" t="s">
        <v>46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>
        <f t="shared" si="4"/>
        <v>13</v>
      </c>
      <c r="B15" s="26" t="s">
        <v>49</v>
      </c>
      <c r="C15" s="11">
        <v>1100000.0</v>
      </c>
      <c r="D15" s="14" t="s">
        <v>19</v>
      </c>
      <c r="E15" s="15" t="s">
        <v>50</v>
      </c>
      <c r="F15" s="16">
        <v>250000.0</v>
      </c>
      <c r="G15" s="13">
        <v>70000.0</v>
      </c>
      <c r="H15" s="13">
        <f t="shared" si="9"/>
        <v>105000</v>
      </c>
      <c r="I15" s="13">
        <f t="shared" si="2"/>
        <v>70000</v>
      </c>
      <c r="J15" s="13">
        <f t="shared" si="5"/>
        <v>105000</v>
      </c>
      <c r="K15" s="13">
        <f t="shared" si="8"/>
        <v>75000</v>
      </c>
      <c r="L15" s="13" t="s">
        <v>36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>
        <f t="shared" si="4"/>
        <v>14</v>
      </c>
      <c r="B16" s="12" t="s">
        <v>51</v>
      </c>
      <c r="C16" s="11">
        <v>1000000.0</v>
      </c>
      <c r="D16" s="14" t="s">
        <v>15</v>
      </c>
      <c r="E16" s="27" t="s">
        <v>52</v>
      </c>
      <c r="F16" s="16">
        <v>200000.0</v>
      </c>
      <c r="G16" s="13">
        <f t="shared" ref="G16:G18" si="10">F16*40%</f>
        <v>80000</v>
      </c>
      <c r="H16" s="13">
        <f t="shared" si="9"/>
        <v>120000</v>
      </c>
      <c r="I16" s="13">
        <f t="shared" si="2"/>
        <v>80000</v>
      </c>
      <c r="J16" s="13">
        <f t="shared" si="5"/>
        <v>120000</v>
      </c>
      <c r="K16" s="13">
        <f t="shared" si="8"/>
        <v>60000</v>
      </c>
      <c r="L16" s="13" t="s">
        <v>53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>
        <f t="shared" si="4"/>
        <v>15</v>
      </c>
      <c r="B17" s="12" t="s">
        <v>54</v>
      </c>
      <c r="C17" s="11">
        <v>993000.0</v>
      </c>
      <c r="D17" s="14" t="s">
        <v>55</v>
      </c>
      <c r="E17" s="15" t="s">
        <v>56</v>
      </c>
      <c r="F17" s="16">
        <v>220000.0</v>
      </c>
      <c r="G17" s="13">
        <f t="shared" si="10"/>
        <v>88000</v>
      </c>
      <c r="H17" s="13">
        <f t="shared" si="9"/>
        <v>132000</v>
      </c>
      <c r="I17" s="13">
        <f t="shared" si="2"/>
        <v>88000</v>
      </c>
      <c r="J17" s="13">
        <f t="shared" si="5"/>
        <v>132000</v>
      </c>
      <c r="K17" s="13">
        <f t="shared" si="8"/>
        <v>66000</v>
      </c>
      <c r="L17" s="14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>
        <f t="shared" si="4"/>
        <v>16</v>
      </c>
      <c r="B18" s="26" t="s">
        <v>57</v>
      </c>
      <c r="C18" s="11">
        <v>939000.0</v>
      </c>
      <c r="D18" s="14" t="s">
        <v>15</v>
      </c>
      <c r="E18" s="15" t="s">
        <v>58</v>
      </c>
      <c r="F18" s="13">
        <v>250000.0</v>
      </c>
      <c r="G18" s="13">
        <f t="shared" si="10"/>
        <v>100000</v>
      </c>
      <c r="H18" s="13">
        <f t="shared" si="9"/>
        <v>150000</v>
      </c>
      <c r="I18" s="13">
        <f t="shared" si="2"/>
        <v>100000</v>
      </c>
      <c r="J18" s="13">
        <f t="shared" si="5"/>
        <v>150000</v>
      </c>
      <c r="K18" s="13">
        <f t="shared" si="8"/>
        <v>75000</v>
      </c>
      <c r="L18" s="13" t="s">
        <v>36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>
        <f t="shared" si="4"/>
        <v>17</v>
      </c>
      <c r="B19" s="12" t="s">
        <v>59</v>
      </c>
      <c r="C19" s="11">
        <v>938000.0</v>
      </c>
      <c r="D19" s="14" t="s">
        <v>19</v>
      </c>
      <c r="E19" s="15" t="s">
        <v>60</v>
      </c>
      <c r="F19" s="13">
        <v>300000.0</v>
      </c>
      <c r="G19" s="13">
        <f t="shared" ref="G19:G20" si="11">F19*30%</f>
        <v>90000</v>
      </c>
      <c r="H19" s="13">
        <f t="shared" si="9"/>
        <v>135000</v>
      </c>
      <c r="I19" s="13">
        <f t="shared" si="2"/>
        <v>90000</v>
      </c>
      <c r="J19" s="13">
        <f t="shared" si="5"/>
        <v>135000</v>
      </c>
      <c r="K19" s="13">
        <f t="shared" si="8"/>
        <v>90000</v>
      </c>
      <c r="L19" s="13" t="s">
        <v>61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>
        <f t="shared" si="4"/>
        <v>18</v>
      </c>
      <c r="B20" s="26" t="s">
        <v>62</v>
      </c>
      <c r="C20" s="11">
        <v>822000.0</v>
      </c>
      <c r="D20" s="14" t="s">
        <v>29</v>
      </c>
      <c r="E20" s="15" t="s">
        <v>63</v>
      </c>
      <c r="F20" s="13">
        <v>220000.0</v>
      </c>
      <c r="G20" s="13">
        <f t="shared" si="11"/>
        <v>66000</v>
      </c>
      <c r="H20" s="13">
        <f t="shared" si="9"/>
        <v>99000</v>
      </c>
      <c r="I20" s="13">
        <f t="shared" si="2"/>
        <v>66000</v>
      </c>
      <c r="J20" s="13">
        <f t="shared" si="5"/>
        <v>99000</v>
      </c>
      <c r="K20" s="13">
        <f t="shared" si="8"/>
        <v>66000</v>
      </c>
      <c r="L20" s="13" t="s">
        <v>36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>
        <f t="shared" si="4"/>
        <v>19</v>
      </c>
      <c r="B21" s="26" t="s">
        <v>64</v>
      </c>
      <c r="C21" s="11">
        <v>799000.0</v>
      </c>
      <c r="D21" s="14" t="s">
        <v>29</v>
      </c>
      <c r="E21" s="19" t="s">
        <v>65</v>
      </c>
      <c r="F21" s="16">
        <v>200000.0</v>
      </c>
      <c r="G21" s="13">
        <f>F21*40%</f>
        <v>80000</v>
      </c>
      <c r="H21" s="13">
        <f t="shared" si="9"/>
        <v>120000</v>
      </c>
      <c r="I21" s="13">
        <f t="shared" si="2"/>
        <v>80000</v>
      </c>
      <c r="J21" s="13">
        <f t="shared" si="5"/>
        <v>120000</v>
      </c>
      <c r="K21" s="13">
        <f t="shared" si="8"/>
        <v>60000</v>
      </c>
      <c r="L21" s="13" t="s">
        <v>66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1">
        <f t="shared" si="4"/>
        <v>20</v>
      </c>
      <c r="B22" s="12" t="s">
        <v>67</v>
      </c>
      <c r="C22" s="11">
        <v>787000.0</v>
      </c>
      <c r="D22" s="14" t="s">
        <v>29</v>
      </c>
      <c r="E22" s="15" t="s">
        <v>68</v>
      </c>
      <c r="F22" s="16">
        <v>130000.0</v>
      </c>
      <c r="G22" s="13">
        <f>F22*30%</f>
        <v>39000</v>
      </c>
      <c r="H22" s="13">
        <f t="shared" si="9"/>
        <v>58500</v>
      </c>
      <c r="I22" s="13">
        <f t="shared" si="2"/>
        <v>39000</v>
      </c>
      <c r="J22" s="13">
        <f t="shared" si="5"/>
        <v>58500</v>
      </c>
      <c r="K22" s="13">
        <f t="shared" si="8"/>
        <v>39000</v>
      </c>
      <c r="L22" s="13" t="s">
        <v>69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>
        <f t="shared" si="4"/>
        <v>21</v>
      </c>
      <c r="B23" s="26" t="s">
        <v>70</v>
      </c>
      <c r="C23" s="11">
        <v>766000.0</v>
      </c>
      <c r="D23" s="14" t="s">
        <v>29</v>
      </c>
      <c r="E23" s="15" t="s">
        <v>71</v>
      </c>
      <c r="F23" s="13">
        <v>140000.0</v>
      </c>
      <c r="G23" s="13">
        <f t="shared" ref="G23:G33" si="12">F23*40%</f>
        <v>56000</v>
      </c>
      <c r="H23" s="13">
        <f t="shared" si="9"/>
        <v>84000</v>
      </c>
      <c r="I23" s="13">
        <f t="shared" si="2"/>
        <v>56000</v>
      </c>
      <c r="J23" s="13">
        <f t="shared" si="5"/>
        <v>84000</v>
      </c>
      <c r="K23" s="13">
        <f t="shared" si="8"/>
        <v>42000</v>
      </c>
      <c r="L23" s="14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1">
        <f t="shared" si="4"/>
        <v>22</v>
      </c>
      <c r="B24" s="26" t="s">
        <v>72</v>
      </c>
      <c r="C24" s="11">
        <v>734000.0</v>
      </c>
      <c r="D24" s="14" t="s">
        <v>29</v>
      </c>
      <c r="E24" s="15" t="s">
        <v>73</v>
      </c>
      <c r="F24" s="16">
        <v>120000.0</v>
      </c>
      <c r="G24" s="13">
        <f t="shared" si="12"/>
        <v>48000</v>
      </c>
      <c r="H24" s="13">
        <f t="shared" si="9"/>
        <v>72000</v>
      </c>
      <c r="I24" s="13">
        <f t="shared" si="2"/>
        <v>48000</v>
      </c>
      <c r="J24" s="13">
        <f t="shared" si="5"/>
        <v>72000</v>
      </c>
      <c r="K24" s="13">
        <f t="shared" si="8"/>
        <v>36000</v>
      </c>
      <c r="L24" s="13" t="s">
        <v>17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>
        <f t="shared" si="4"/>
        <v>23</v>
      </c>
      <c r="B25" s="26" t="s">
        <v>74</v>
      </c>
      <c r="C25" s="11">
        <v>725000.0</v>
      </c>
      <c r="D25" s="14" t="s">
        <v>29</v>
      </c>
      <c r="E25" s="15" t="s">
        <v>75</v>
      </c>
      <c r="F25" s="16">
        <v>160000.0</v>
      </c>
      <c r="G25" s="13">
        <f t="shared" si="12"/>
        <v>64000</v>
      </c>
      <c r="H25" s="13">
        <f t="shared" si="9"/>
        <v>96000</v>
      </c>
      <c r="I25" s="13">
        <f t="shared" si="2"/>
        <v>64000</v>
      </c>
      <c r="J25" s="13">
        <f t="shared" si="5"/>
        <v>96000</v>
      </c>
      <c r="K25" s="13">
        <f t="shared" si="8"/>
        <v>48000</v>
      </c>
      <c r="L25" s="13" t="s">
        <v>36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>
        <f t="shared" si="4"/>
        <v>24</v>
      </c>
      <c r="B26" s="12" t="s">
        <v>76</v>
      </c>
      <c r="C26" s="11">
        <v>704000.0</v>
      </c>
      <c r="D26" s="14" t="s">
        <v>15</v>
      </c>
      <c r="E26" s="15" t="s">
        <v>77</v>
      </c>
      <c r="F26" s="16">
        <v>220000.0</v>
      </c>
      <c r="G26" s="13">
        <f t="shared" si="12"/>
        <v>88000</v>
      </c>
      <c r="H26" s="13">
        <f t="shared" si="9"/>
        <v>132000</v>
      </c>
      <c r="I26" s="13">
        <f t="shared" si="2"/>
        <v>88000</v>
      </c>
      <c r="J26" s="13">
        <f t="shared" si="5"/>
        <v>132000</v>
      </c>
      <c r="K26" s="13">
        <f t="shared" si="8"/>
        <v>66000</v>
      </c>
      <c r="L26" s="13" t="s">
        <v>36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1">
        <f t="shared" si="4"/>
        <v>25</v>
      </c>
      <c r="B27" s="12" t="s">
        <v>78</v>
      </c>
      <c r="C27" s="11">
        <v>703000.0</v>
      </c>
      <c r="D27" s="14" t="s">
        <v>15</v>
      </c>
      <c r="E27" s="15" t="s">
        <v>79</v>
      </c>
      <c r="F27" s="16">
        <v>120000.0</v>
      </c>
      <c r="G27" s="13">
        <f t="shared" si="12"/>
        <v>48000</v>
      </c>
      <c r="H27" s="13">
        <f t="shared" si="9"/>
        <v>72000</v>
      </c>
      <c r="I27" s="13">
        <f t="shared" si="2"/>
        <v>48000</v>
      </c>
      <c r="J27" s="13">
        <f t="shared" si="5"/>
        <v>72000</v>
      </c>
      <c r="K27" s="13">
        <f t="shared" si="8"/>
        <v>36000</v>
      </c>
      <c r="L27" s="13" t="s">
        <v>36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1">
        <f t="shared" si="4"/>
        <v>26</v>
      </c>
      <c r="B28" s="12" t="s">
        <v>80</v>
      </c>
      <c r="C28" s="11">
        <v>696000.0</v>
      </c>
      <c r="D28" s="14" t="s">
        <v>15</v>
      </c>
      <c r="E28" s="19" t="s">
        <v>81</v>
      </c>
      <c r="F28" s="16">
        <v>180000.0</v>
      </c>
      <c r="G28" s="13">
        <f t="shared" si="12"/>
        <v>72000</v>
      </c>
      <c r="H28" s="13">
        <f t="shared" si="9"/>
        <v>108000</v>
      </c>
      <c r="I28" s="13">
        <f t="shared" si="2"/>
        <v>72000</v>
      </c>
      <c r="J28" s="13">
        <f t="shared" si="5"/>
        <v>108000</v>
      </c>
      <c r="K28" s="13">
        <f t="shared" si="8"/>
        <v>54000</v>
      </c>
      <c r="L28" s="13" t="s">
        <v>82</v>
      </c>
    </row>
    <row r="29">
      <c r="A29" s="11">
        <f t="shared" si="4"/>
        <v>27</v>
      </c>
      <c r="B29" s="12" t="s">
        <v>83</v>
      </c>
      <c r="C29" s="11">
        <v>636000.0</v>
      </c>
      <c r="D29" s="14" t="s">
        <v>29</v>
      </c>
      <c r="E29" s="15" t="s">
        <v>84</v>
      </c>
      <c r="F29" s="16">
        <v>140000.0</v>
      </c>
      <c r="G29" s="13">
        <f t="shared" si="12"/>
        <v>56000</v>
      </c>
      <c r="H29" s="13">
        <f t="shared" si="9"/>
        <v>84000</v>
      </c>
      <c r="I29" s="13">
        <f t="shared" si="2"/>
        <v>56000</v>
      </c>
      <c r="J29" s="13">
        <f t="shared" si="5"/>
        <v>84000</v>
      </c>
      <c r="K29" s="13">
        <f t="shared" si="8"/>
        <v>42000</v>
      </c>
      <c r="L29" s="13" t="s">
        <v>36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1">
        <f t="shared" si="4"/>
        <v>28</v>
      </c>
      <c r="B30" s="26" t="s">
        <v>85</v>
      </c>
      <c r="C30" s="11">
        <v>606000.0</v>
      </c>
      <c r="D30" s="14" t="s">
        <v>86</v>
      </c>
      <c r="E30" s="25" t="s">
        <v>87</v>
      </c>
      <c r="F30" s="13">
        <v>180000.0</v>
      </c>
      <c r="G30" s="13">
        <f t="shared" si="12"/>
        <v>72000</v>
      </c>
      <c r="H30" s="13">
        <f t="shared" si="9"/>
        <v>108000</v>
      </c>
      <c r="I30" s="13">
        <f t="shared" si="2"/>
        <v>72000</v>
      </c>
      <c r="J30" s="13">
        <f t="shared" si="5"/>
        <v>108000</v>
      </c>
      <c r="K30" s="13">
        <f t="shared" si="8"/>
        <v>54000</v>
      </c>
      <c r="L30" s="14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1">
        <f t="shared" si="4"/>
        <v>29</v>
      </c>
      <c r="B31" s="12" t="s">
        <v>88</v>
      </c>
      <c r="C31" s="18">
        <v>601000.0</v>
      </c>
      <c r="D31" s="14" t="s">
        <v>15</v>
      </c>
      <c r="E31" s="19" t="s">
        <v>89</v>
      </c>
      <c r="F31" s="16">
        <v>95000.0</v>
      </c>
      <c r="G31" s="13">
        <f t="shared" si="12"/>
        <v>38000</v>
      </c>
      <c r="H31" s="13">
        <f t="shared" si="9"/>
        <v>57000</v>
      </c>
      <c r="I31" s="13">
        <f t="shared" si="2"/>
        <v>38000</v>
      </c>
      <c r="J31" s="13">
        <f t="shared" si="5"/>
        <v>57000</v>
      </c>
      <c r="K31" s="13">
        <f t="shared" si="8"/>
        <v>28500</v>
      </c>
      <c r="L31" s="13" t="s">
        <v>36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1">
        <f t="shared" si="4"/>
        <v>30</v>
      </c>
      <c r="B32" s="12" t="s">
        <v>90</v>
      </c>
      <c r="C32" s="11">
        <v>579000.0</v>
      </c>
      <c r="D32" s="14" t="s">
        <v>55</v>
      </c>
      <c r="E32" s="15" t="s">
        <v>91</v>
      </c>
      <c r="F32" s="16">
        <v>130000.0</v>
      </c>
      <c r="G32" s="13">
        <f t="shared" si="12"/>
        <v>52000</v>
      </c>
      <c r="H32" s="13">
        <f t="shared" si="9"/>
        <v>78000</v>
      </c>
      <c r="I32" s="13">
        <f t="shared" si="2"/>
        <v>52000</v>
      </c>
      <c r="J32" s="13">
        <f t="shared" si="5"/>
        <v>78000</v>
      </c>
      <c r="K32" s="13">
        <f t="shared" si="8"/>
        <v>39000</v>
      </c>
      <c r="L32" s="14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1">
        <f t="shared" si="4"/>
        <v>31</v>
      </c>
      <c r="B33" s="12" t="s">
        <v>92</v>
      </c>
      <c r="C33" s="11">
        <v>573000.0</v>
      </c>
      <c r="D33" s="14" t="s">
        <v>15</v>
      </c>
      <c r="E33" s="15" t="s">
        <v>93</v>
      </c>
      <c r="F33" s="13">
        <v>150000.0</v>
      </c>
      <c r="G33" s="13">
        <f t="shared" si="12"/>
        <v>60000</v>
      </c>
      <c r="H33" s="13">
        <f t="shared" si="9"/>
        <v>90000</v>
      </c>
      <c r="I33" s="13">
        <f t="shared" si="2"/>
        <v>60000</v>
      </c>
      <c r="J33" s="13">
        <f t="shared" si="5"/>
        <v>90000</v>
      </c>
      <c r="K33" s="13">
        <f t="shared" si="8"/>
        <v>45000</v>
      </c>
      <c r="L33" s="13" t="s">
        <v>94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1">
        <f t="shared" si="4"/>
        <v>32</v>
      </c>
      <c r="B34" s="26" t="s">
        <v>95</v>
      </c>
      <c r="C34" s="11">
        <v>570000.0</v>
      </c>
      <c r="D34" s="12" t="s">
        <v>15</v>
      </c>
      <c r="E34" s="28" t="s">
        <v>96</v>
      </c>
      <c r="F34" s="18">
        <v>120000.0</v>
      </c>
      <c r="G34" s="13">
        <v>20000.0</v>
      </c>
      <c r="H34" s="13">
        <v>30000.0</v>
      </c>
      <c r="I34" s="13">
        <v>100000.0</v>
      </c>
      <c r="J34" s="13">
        <f t="shared" ref="J34:K34" si="13">J5</f>
        <v>150000</v>
      </c>
      <c r="K34" s="13">
        <f t="shared" si="13"/>
        <v>75000</v>
      </c>
      <c r="L34" s="13" t="s">
        <v>97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1">
        <f t="shared" si="4"/>
        <v>33</v>
      </c>
      <c r="B35" s="12" t="s">
        <v>98</v>
      </c>
      <c r="C35" s="11">
        <v>569000.0</v>
      </c>
      <c r="D35" s="14" t="s">
        <v>99</v>
      </c>
      <c r="E35" s="15" t="s">
        <v>100</v>
      </c>
      <c r="F35" s="13">
        <v>140000.0</v>
      </c>
      <c r="G35" s="13">
        <f t="shared" ref="G35:G39" si="14">F35*40%</f>
        <v>56000</v>
      </c>
      <c r="H35" s="13">
        <f t="shared" ref="H35:H39" si="15">G35*1.5</f>
        <v>84000</v>
      </c>
      <c r="I35" s="13">
        <f t="shared" ref="I35:I39" si="16">G35</f>
        <v>56000</v>
      </c>
      <c r="J35" s="13">
        <f t="shared" ref="J35:J52" si="17">I35*1.5</f>
        <v>84000</v>
      </c>
      <c r="K35" s="13">
        <f t="shared" ref="K35:K52" si="18">F35*30%</f>
        <v>42000</v>
      </c>
      <c r="L35" s="14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1">
        <f t="shared" si="4"/>
        <v>34</v>
      </c>
      <c r="B36" s="12" t="s">
        <v>101</v>
      </c>
      <c r="C36" s="11">
        <v>541000.0</v>
      </c>
      <c r="D36" s="14" t="s">
        <v>15</v>
      </c>
      <c r="E36" s="15" t="s">
        <v>102</v>
      </c>
      <c r="F36" s="16">
        <v>120000.0</v>
      </c>
      <c r="G36" s="13">
        <f t="shared" si="14"/>
        <v>48000</v>
      </c>
      <c r="H36" s="13">
        <f t="shared" si="15"/>
        <v>72000</v>
      </c>
      <c r="I36" s="13">
        <f t="shared" si="16"/>
        <v>48000</v>
      </c>
      <c r="J36" s="13">
        <f t="shared" si="17"/>
        <v>72000</v>
      </c>
      <c r="K36" s="13">
        <f t="shared" si="18"/>
        <v>36000</v>
      </c>
      <c r="L36" s="14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1">
        <f t="shared" si="4"/>
        <v>35</v>
      </c>
      <c r="B37" s="12" t="s">
        <v>103</v>
      </c>
      <c r="C37" s="11">
        <v>522000.0</v>
      </c>
      <c r="D37" s="14" t="s">
        <v>29</v>
      </c>
      <c r="E37" s="15" t="s">
        <v>104</v>
      </c>
      <c r="F37" s="16">
        <v>110000.0</v>
      </c>
      <c r="G37" s="13">
        <f t="shared" si="14"/>
        <v>44000</v>
      </c>
      <c r="H37" s="13">
        <f t="shared" si="15"/>
        <v>66000</v>
      </c>
      <c r="I37" s="13">
        <f t="shared" si="16"/>
        <v>44000</v>
      </c>
      <c r="J37" s="13">
        <f t="shared" si="17"/>
        <v>66000</v>
      </c>
      <c r="K37" s="13">
        <f t="shared" si="18"/>
        <v>33000</v>
      </c>
      <c r="L37" s="13" t="s">
        <v>53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1">
        <f t="shared" si="4"/>
        <v>36</v>
      </c>
      <c r="B38" s="12" t="s">
        <v>105</v>
      </c>
      <c r="C38" s="11">
        <v>516000.0</v>
      </c>
      <c r="D38" s="14" t="s">
        <v>15</v>
      </c>
      <c r="E38" s="15" t="s">
        <v>106</v>
      </c>
      <c r="F38" s="13">
        <v>120000.0</v>
      </c>
      <c r="G38" s="13">
        <f t="shared" si="14"/>
        <v>48000</v>
      </c>
      <c r="H38" s="13">
        <f t="shared" si="15"/>
        <v>72000</v>
      </c>
      <c r="I38" s="13">
        <f t="shared" si="16"/>
        <v>48000</v>
      </c>
      <c r="J38" s="13">
        <f t="shared" si="17"/>
        <v>72000</v>
      </c>
      <c r="K38" s="13">
        <f t="shared" si="18"/>
        <v>36000</v>
      </c>
      <c r="L38" s="13" t="s">
        <v>97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1">
        <f t="shared" si="4"/>
        <v>37</v>
      </c>
      <c r="B39" s="12" t="s">
        <v>107</v>
      </c>
      <c r="C39" s="18">
        <v>597000.0</v>
      </c>
      <c r="D39" s="14" t="s">
        <v>15</v>
      </c>
      <c r="E39" s="15" t="s">
        <v>108</v>
      </c>
      <c r="F39" s="16">
        <v>130000.0</v>
      </c>
      <c r="G39" s="13">
        <f t="shared" si="14"/>
        <v>52000</v>
      </c>
      <c r="H39" s="13">
        <f t="shared" si="15"/>
        <v>78000</v>
      </c>
      <c r="I39" s="13">
        <f t="shared" si="16"/>
        <v>52000</v>
      </c>
      <c r="J39" s="13">
        <f t="shared" si="17"/>
        <v>78000</v>
      </c>
      <c r="K39" s="13">
        <f t="shared" si="18"/>
        <v>39000</v>
      </c>
      <c r="L39" s="13" t="s">
        <v>61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1">
        <f t="shared" si="4"/>
        <v>38</v>
      </c>
      <c r="B40" s="12" t="s">
        <v>109</v>
      </c>
      <c r="C40" s="11">
        <v>484000.0</v>
      </c>
      <c r="D40" s="12" t="s">
        <v>15</v>
      </c>
      <c r="E40" s="29" t="s">
        <v>110</v>
      </c>
      <c r="F40" s="18">
        <v>45000.0</v>
      </c>
      <c r="G40" s="13">
        <v>20000.0</v>
      </c>
      <c r="H40" s="13">
        <v>30000.0</v>
      </c>
      <c r="I40" s="13">
        <v>20000.0</v>
      </c>
      <c r="J40" s="13">
        <f t="shared" si="17"/>
        <v>30000</v>
      </c>
      <c r="K40" s="13">
        <f t="shared" si="18"/>
        <v>13500</v>
      </c>
      <c r="L40" s="13" t="s">
        <v>36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1">
        <f t="shared" si="4"/>
        <v>39</v>
      </c>
      <c r="B41" s="12" t="s">
        <v>111</v>
      </c>
      <c r="C41" s="18">
        <v>467000.0</v>
      </c>
      <c r="D41" s="30" t="s">
        <v>15</v>
      </c>
      <c r="E41" s="31" t="s">
        <v>112</v>
      </c>
      <c r="F41" s="18">
        <v>120000.0</v>
      </c>
      <c r="G41" s="13">
        <f t="shared" ref="G41:G77" si="19">F41*40%</f>
        <v>48000</v>
      </c>
      <c r="H41" s="13">
        <f t="shared" ref="H41:H43" si="20">G41*1.5</f>
        <v>72000</v>
      </c>
      <c r="I41" s="13">
        <f t="shared" ref="I41:I52" si="21">G41</f>
        <v>48000</v>
      </c>
      <c r="J41" s="13">
        <f t="shared" si="17"/>
        <v>72000</v>
      </c>
      <c r="K41" s="13">
        <f t="shared" si="18"/>
        <v>36000</v>
      </c>
      <c r="L41" s="13" t="s">
        <v>61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1">
        <f t="shared" si="4"/>
        <v>40</v>
      </c>
      <c r="B42" s="12" t="s">
        <v>113</v>
      </c>
      <c r="C42" s="11">
        <v>457000.0</v>
      </c>
      <c r="D42" s="14" t="s">
        <v>55</v>
      </c>
      <c r="E42" s="15" t="s">
        <v>114</v>
      </c>
      <c r="F42" s="13">
        <v>60000.0</v>
      </c>
      <c r="G42" s="13">
        <f t="shared" si="19"/>
        <v>24000</v>
      </c>
      <c r="H42" s="13">
        <f t="shared" si="20"/>
        <v>36000</v>
      </c>
      <c r="I42" s="13">
        <f t="shared" si="21"/>
        <v>24000</v>
      </c>
      <c r="J42" s="13">
        <f t="shared" si="17"/>
        <v>36000</v>
      </c>
      <c r="K42" s="13">
        <f t="shared" si="18"/>
        <v>18000</v>
      </c>
      <c r="L42" s="14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1">
        <f t="shared" si="4"/>
        <v>41</v>
      </c>
      <c r="B43" s="12" t="s">
        <v>115</v>
      </c>
      <c r="C43" s="11">
        <v>452000.0</v>
      </c>
      <c r="D43" s="14" t="s">
        <v>86</v>
      </c>
      <c r="E43" s="25" t="s">
        <v>116</v>
      </c>
      <c r="F43" s="16">
        <v>90000.0</v>
      </c>
      <c r="G43" s="13">
        <f t="shared" si="19"/>
        <v>36000</v>
      </c>
      <c r="H43" s="13">
        <f t="shared" si="20"/>
        <v>54000</v>
      </c>
      <c r="I43" s="13">
        <f t="shared" si="21"/>
        <v>36000</v>
      </c>
      <c r="J43" s="13">
        <f t="shared" si="17"/>
        <v>54000</v>
      </c>
      <c r="K43" s="13">
        <f t="shared" si="18"/>
        <v>27000</v>
      </c>
      <c r="L43" s="14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1">
        <f t="shared" si="4"/>
        <v>42</v>
      </c>
      <c r="B44" s="12" t="s">
        <v>117</v>
      </c>
      <c r="C44" s="11">
        <v>446000.0</v>
      </c>
      <c r="D44" s="14" t="s">
        <v>19</v>
      </c>
      <c r="E44" s="15" t="s">
        <v>118</v>
      </c>
      <c r="F44" s="16">
        <v>80000.0</v>
      </c>
      <c r="G44" s="13">
        <f t="shared" si="19"/>
        <v>32000</v>
      </c>
      <c r="H44" s="13">
        <v>18000.0</v>
      </c>
      <c r="I44" s="13">
        <f t="shared" si="21"/>
        <v>32000</v>
      </c>
      <c r="J44" s="13">
        <f t="shared" si="17"/>
        <v>48000</v>
      </c>
      <c r="K44" s="13">
        <f t="shared" si="18"/>
        <v>24000</v>
      </c>
      <c r="L44" s="13" t="s">
        <v>119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1">
        <f t="shared" si="4"/>
        <v>43</v>
      </c>
      <c r="B45" s="12" t="s">
        <v>120</v>
      </c>
      <c r="C45" s="18">
        <v>436000.0</v>
      </c>
      <c r="D45" s="14" t="s">
        <v>15</v>
      </c>
      <c r="E45" s="15" t="s">
        <v>121</v>
      </c>
      <c r="F45" s="16">
        <v>180000.0</v>
      </c>
      <c r="G45" s="13">
        <f t="shared" si="19"/>
        <v>72000</v>
      </c>
      <c r="H45" s="13">
        <f>G45*1.5</f>
        <v>108000</v>
      </c>
      <c r="I45" s="13">
        <f t="shared" si="21"/>
        <v>72000</v>
      </c>
      <c r="J45" s="13">
        <f t="shared" si="17"/>
        <v>108000</v>
      </c>
      <c r="K45" s="13">
        <f t="shared" si="18"/>
        <v>54000</v>
      </c>
      <c r="L45" s="13" t="s">
        <v>66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1">
        <f t="shared" si="4"/>
        <v>44</v>
      </c>
      <c r="B46" s="12" t="s">
        <v>122</v>
      </c>
      <c r="C46" s="11">
        <v>395000.0</v>
      </c>
      <c r="D46" s="14" t="s">
        <v>29</v>
      </c>
      <c r="E46" s="25" t="s">
        <v>123</v>
      </c>
      <c r="F46" s="13">
        <v>180000.0</v>
      </c>
      <c r="G46" s="13">
        <f t="shared" si="19"/>
        <v>72000</v>
      </c>
      <c r="H46" s="13">
        <v>18000.0</v>
      </c>
      <c r="I46" s="13">
        <f t="shared" si="21"/>
        <v>72000</v>
      </c>
      <c r="J46" s="13">
        <f t="shared" si="17"/>
        <v>108000</v>
      </c>
      <c r="K46" s="13">
        <f t="shared" si="18"/>
        <v>54000</v>
      </c>
      <c r="L46" s="14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1">
        <f t="shared" si="4"/>
        <v>45</v>
      </c>
      <c r="B47" s="12" t="s">
        <v>124</v>
      </c>
      <c r="C47" s="20">
        <v>379000.0</v>
      </c>
      <c r="D47" s="21" t="s">
        <v>125</v>
      </c>
      <c r="E47" s="32" t="s">
        <v>126</v>
      </c>
      <c r="F47" s="18">
        <v>95000.0</v>
      </c>
      <c r="G47" s="13">
        <f t="shared" si="19"/>
        <v>38000</v>
      </c>
      <c r="H47" s="13">
        <v>18000.0</v>
      </c>
      <c r="I47" s="13">
        <f t="shared" si="21"/>
        <v>38000</v>
      </c>
      <c r="J47" s="13">
        <f t="shared" si="17"/>
        <v>57000</v>
      </c>
      <c r="K47" s="13">
        <f t="shared" si="18"/>
        <v>28500</v>
      </c>
      <c r="L47" s="16" t="s">
        <v>17</v>
      </c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11">
        <f t="shared" si="4"/>
        <v>46</v>
      </c>
      <c r="B48" s="12" t="s">
        <v>127</v>
      </c>
      <c r="C48" s="18">
        <v>368000.0</v>
      </c>
      <c r="D48" s="14" t="s">
        <v>19</v>
      </c>
      <c r="E48" s="15" t="s">
        <v>128</v>
      </c>
      <c r="F48" s="16">
        <v>80000.0</v>
      </c>
      <c r="G48" s="13">
        <f t="shared" si="19"/>
        <v>32000</v>
      </c>
      <c r="H48" s="13">
        <f t="shared" ref="H48:H77" si="22">G48*1.5</f>
        <v>48000</v>
      </c>
      <c r="I48" s="13">
        <f t="shared" si="21"/>
        <v>32000</v>
      </c>
      <c r="J48" s="13">
        <f t="shared" si="17"/>
        <v>48000</v>
      </c>
      <c r="K48" s="13">
        <f t="shared" si="18"/>
        <v>24000</v>
      </c>
      <c r="L48" s="13" t="s">
        <v>129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1">
        <f t="shared" si="4"/>
        <v>47</v>
      </c>
      <c r="B49" s="12" t="s">
        <v>130</v>
      </c>
      <c r="C49" s="11">
        <v>325000.0</v>
      </c>
      <c r="D49" s="14" t="s">
        <v>15</v>
      </c>
      <c r="E49" s="15" t="s">
        <v>131</v>
      </c>
      <c r="F49" s="16">
        <v>70000.0</v>
      </c>
      <c r="G49" s="13">
        <f t="shared" si="19"/>
        <v>28000</v>
      </c>
      <c r="H49" s="13">
        <f t="shared" si="22"/>
        <v>42000</v>
      </c>
      <c r="I49" s="13">
        <f t="shared" si="21"/>
        <v>28000</v>
      </c>
      <c r="J49" s="13">
        <f t="shared" si="17"/>
        <v>42000</v>
      </c>
      <c r="K49" s="13">
        <f t="shared" si="18"/>
        <v>21000</v>
      </c>
      <c r="L49" s="13" t="s">
        <v>36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1">
        <f t="shared" si="4"/>
        <v>48</v>
      </c>
      <c r="B50" s="26" t="s">
        <v>132</v>
      </c>
      <c r="C50" s="18">
        <v>309000.0</v>
      </c>
      <c r="D50" s="12" t="s">
        <v>29</v>
      </c>
      <c r="E50" s="34" t="s">
        <v>133</v>
      </c>
      <c r="F50" s="18">
        <v>130000.0</v>
      </c>
      <c r="G50" s="13">
        <f t="shared" si="19"/>
        <v>52000</v>
      </c>
      <c r="H50" s="13">
        <f t="shared" si="22"/>
        <v>78000</v>
      </c>
      <c r="I50" s="13">
        <f t="shared" si="21"/>
        <v>52000</v>
      </c>
      <c r="J50" s="13">
        <f t="shared" si="17"/>
        <v>78000</v>
      </c>
      <c r="K50" s="13">
        <f t="shared" si="18"/>
        <v>39000</v>
      </c>
      <c r="L50" s="14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1">
        <f t="shared" si="4"/>
        <v>49</v>
      </c>
      <c r="B51" s="12" t="s">
        <v>134</v>
      </c>
      <c r="C51" s="18">
        <v>300000.0</v>
      </c>
      <c r="D51" s="14" t="s">
        <v>86</v>
      </c>
      <c r="E51" s="35" t="s">
        <v>135</v>
      </c>
      <c r="F51" s="16">
        <v>95000.0</v>
      </c>
      <c r="G51" s="13">
        <f t="shared" si="19"/>
        <v>38000</v>
      </c>
      <c r="H51" s="13">
        <f t="shared" si="22"/>
        <v>57000</v>
      </c>
      <c r="I51" s="13">
        <f t="shared" si="21"/>
        <v>38000</v>
      </c>
      <c r="J51" s="13">
        <f t="shared" si="17"/>
        <v>57000</v>
      </c>
      <c r="K51" s="13">
        <f t="shared" si="18"/>
        <v>28500</v>
      </c>
      <c r="L51" s="13" t="s">
        <v>136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1">
        <f t="shared" si="4"/>
        <v>50</v>
      </c>
      <c r="B52" s="12" t="s">
        <v>137</v>
      </c>
      <c r="C52" s="11">
        <v>273000.0</v>
      </c>
      <c r="D52" s="14" t="s">
        <v>15</v>
      </c>
      <c r="E52" s="15" t="s">
        <v>138</v>
      </c>
      <c r="F52" s="13">
        <v>60000.0</v>
      </c>
      <c r="G52" s="13">
        <f t="shared" si="19"/>
        <v>24000</v>
      </c>
      <c r="H52" s="13">
        <f t="shared" si="22"/>
        <v>36000</v>
      </c>
      <c r="I52" s="13">
        <f t="shared" si="21"/>
        <v>24000</v>
      </c>
      <c r="J52" s="13">
        <f t="shared" si="17"/>
        <v>36000</v>
      </c>
      <c r="K52" s="13">
        <f t="shared" si="18"/>
        <v>18000</v>
      </c>
      <c r="L52" s="13" t="s">
        <v>66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1">
        <f t="shared" si="4"/>
        <v>51</v>
      </c>
      <c r="B53" s="12" t="s">
        <v>139</v>
      </c>
      <c r="C53" s="18">
        <v>271000.0</v>
      </c>
      <c r="D53" s="14" t="s">
        <v>15</v>
      </c>
      <c r="E53" s="15" t="s">
        <v>140</v>
      </c>
      <c r="F53" s="16">
        <v>80000.0</v>
      </c>
      <c r="G53" s="13">
        <f t="shared" si="19"/>
        <v>32000</v>
      </c>
      <c r="H53" s="13">
        <f t="shared" si="22"/>
        <v>48000</v>
      </c>
      <c r="I53" s="13">
        <v>48000.0</v>
      </c>
      <c r="J53" s="13">
        <f t="shared" ref="J53:K53" si="23">J26</f>
        <v>132000</v>
      </c>
      <c r="K53" s="16">
        <f t="shared" si="23"/>
        <v>66000</v>
      </c>
      <c r="L53" s="13" t="s">
        <v>36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1">
        <f t="shared" si="4"/>
        <v>52</v>
      </c>
      <c r="B54" s="12" t="s">
        <v>141</v>
      </c>
      <c r="C54" s="18">
        <v>308000.0</v>
      </c>
      <c r="D54" s="14" t="s">
        <v>55</v>
      </c>
      <c r="E54" s="36" t="s">
        <v>142</v>
      </c>
      <c r="F54" s="16">
        <v>65000.0</v>
      </c>
      <c r="G54" s="13">
        <f t="shared" si="19"/>
        <v>26000</v>
      </c>
      <c r="H54" s="13">
        <f t="shared" si="22"/>
        <v>39000</v>
      </c>
      <c r="I54" s="13">
        <f>G54</f>
        <v>26000</v>
      </c>
      <c r="J54" s="13">
        <f>I54*1.5</f>
        <v>39000</v>
      </c>
      <c r="K54" s="13">
        <f>F54*30%</f>
        <v>19500</v>
      </c>
      <c r="L54" s="14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1">
        <f t="shared" si="4"/>
        <v>53</v>
      </c>
      <c r="B55" s="26" t="s">
        <v>143</v>
      </c>
      <c r="C55" s="18">
        <v>383000.0</v>
      </c>
      <c r="D55" s="14" t="s">
        <v>15</v>
      </c>
      <c r="E55" s="15" t="s">
        <v>144</v>
      </c>
      <c r="F55" s="16">
        <v>90000.0</v>
      </c>
      <c r="G55" s="13">
        <f t="shared" si="19"/>
        <v>36000</v>
      </c>
      <c r="H55" s="13">
        <f t="shared" si="22"/>
        <v>54000</v>
      </c>
      <c r="I55" s="13">
        <v>72000.0</v>
      </c>
      <c r="J55" s="13">
        <f t="shared" ref="J55:K55" si="24">J17</f>
        <v>132000</v>
      </c>
      <c r="K55" s="16">
        <f t="shared" si="24"/>
        <v>66000</v>
      </c>
      <c r="L55" s="13" t="s">
        <v>36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1">
        <f t="shared" si="4"/>
        <v>54</v>
      </c>
      <c r="B56" s="12" t="s">
        <v>145</v>
      </c>
      <c r="C56" s="11">
        <v>255000.0</v>
      </c>
      <c r="D56" s="14" t="s">
        <v>15</v>
      </c>
      <c r="E56" s="15" t="s">
        <v>146</v>
      </c>
      <c r="F56" s="13">
        <v>50000.0</v>
      </c>
      <c r="G56" s="13">
        <f t="shared" si="19"/>
        <v>20000</v>
      </c>
      <c r="H56" s="13">
        <f t="shared" si="22"/>
        <v>30000</v>
      </c>
      <c r="I56" s="13">
        <f t="shared" ref="I56:I58" si="25">G56</f>
        <v>20000</v>
      </c>
      <c r="J56" s="13">
        <f t="shared" ref="J56:J65" si="26">I56*1.5</f>
        <v>30000</v>
      </c>
      <c r="K56" s="13">
        <f t="shared" ref="K56:K65" si="27">F56*30%</f>
        <v>15000</v>
      </c>
      <c r="L56" s="13" t="s">
        <v>46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1">
        <f t="shared" si="4"/>
        <v>55</v>
      </c>
      <c r="B57" s="12" t="s">
        <v>147</v>
      </c>
      <c r="C57" s="20">
        <v>253000.0</v>
      </c>
      <c r="D57" s="14" t="s">
        <v>19</v>
      </c>
      <c r="E57" s="15" t="s">
        <v>148</v>
      </c>
      <c r="F57" s="16">
        <v>25000.0</v>
      </c>
      <c r="G57" s="13">
        <f t="shared" si="19"/>
        <v>10000</v>
      </c>
      <c r="H57" s="13">
        <f t="shared" si="22"/>
        <v>15000</v>
      </c>
      <c r="I57" s="13">
        <f t="shared" si="25"/>
        <v>10000</v>
      </c>
      <c r="J57" s="13">
        <f t="shared" si="26"/>
        <v>15000</v>
      </c>
      <c r="K57" s="13">
        <f t="shared" si="27"/>
        <v>7500</v>
      </c>
      <c r="L57" s="13" t="s">
        <v>61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11">
        <f t="shared" si="4"/>
        <v>56</v>
      </c>
      <c r="B58" s="12" t="s">
        <v>149</v>
      </c>
      <c r="C58" s="11">
        <v>236000.0</v>
      </c>
      <c r="D58" s="14" t="s">
        <v>15</v>
      </c>
      <c r="E58" s="37" t="s">
        <v>150</v>
      </c>
      <c r="F58" s="16">
        <v>30000.0</v>
      </c>
      <c r="G58" s="13">
        <f t="shared" si="19"/>
        <v>12000</v>
      </c>
      <c r="H58" s="13">
        <f t="shared" si="22"/>
        <v>18000</v>
      </c>
      <c r="I58" s="13">
        <f t="shared" si="25"/>
        <v>12000</v>
      </c>
      <c r="J58" s="13">
        <f t="shared" si="26"/>
        <v>18000</v>
      </c>
      <c r="K58" s="13">
        <f t="shared" si="27"/>
        <v>9000</v>
      </c>
      <c r="L58" s="13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1">
        <f t="shared" si="4"/>
        <v>57</v>
      </c>
      <c r="B59" s="12" t="s">
        <v>151</v>
      </c>
      <c r="C59" s="11">
        <v>236000.0</v>
      </c>
      <c r="D59" s="14" t="s">
        <v>152</v>
      </c>
      <c r="E59" s="15" t="s">
        <v>153</v>
      </c>
      <c r="F59" s="16">
        <v>40000.0</v>
      </c>
      <c r="G59" s="13">
        <f t="shared" si="19"/>
        <v>16000</v>
      </c>
      <c r="H59" s="13">
        <f t="shared" si="22"/>
        <v>24000</v>
      </c>
      <c r="I59" s="13">
        <v>10000.0</v>
      </c>
      <c r="J59" s="13">
        <f t="shared" si="26"/>
        <v>15000</v>
      </c>
      <c r="K59" s="13">
        <f t="shared" si="27"/>
        <v>12000</v>
      </c>
      <c r="L59" s="13" t="s">
        <v>154</v>
      </c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11">
        <f t="shared" si="4"/>
        <v>58</v>
      </c>
      <c r="B60" s="12" t="s">
        <v>155</v>
      </c>
      <c r="C60" s="11">
        <v>231000.0</v>
      </c>
      <c r="D60" s="14" t="s">
        <v>15</v>
      </c>
      <c r="E60" s="15" t="s">
        <v>156</v>
      </c>
      <c r="F60" s="13">
        <v>70000.0</v>
      </c>
      <c r="G60" s="13">
        <f t="shared" si="19"/>
        <v>28000</v>
      </c>
      <c r="H60" s="13">
        <f t="shared" si="22"/>
        <v>42000</v>
      </c>
      <c r="I60" s="13">
        <f t="shared" ref="I60:I63" si="28">G60</f>
        <v>28000</v>
      </c>
      <c r="J60" s="13">
        <f t="shared" si="26"/>
        <v>42000</v>
      </c>
      <c r="K60" s="13">
        <f t="shared" si="27"/>
        <v>21000</v>
      </c>
      <c r="L60" s="13" t="s">
        <v>36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1">
        <f t="shared" si="4"/>
        <v>59</v>
      </c>
      <c r="B61" s="12" t="s">
        <v>157</v>
      </c>
      <c r="C61" s="20">
        <v>220000.0</v>
      </c>
      <c r="D61" s="14" t="s">
        <v>19</v>
      </c>
      <c r="E61" s="39" t="s">
        <v>158</v>
      </c>
      <c r="F61" s="18">
        <v>35000.0</v>
      </c>
      <c r="G61" s="13">
        <f t="shared" si="19"/>
        <v>14000</v>
      </c>
      <c r="H61" s="13">
        <f t="shared" si="22"/>
        <v>21000</v>
      </c>
      <c r="I61" s="13">
        <f t="shared" si="28"/>
        <v>14000</v>
      </c>
      <c r="J61" s="13">
        <f t="shared" si="26"/>
        <v>21000</v>
      </c>
      <c r="K61" s="13">
        <f t="shared" si="27"/>
        <v>10500</v>
      </c>
      <c r="L61" s="20" t="s">
        <v>46</v>
      </c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11">
        <f t="shared" si="4"/>
        <v>60</v>
      </c>
      <c r="B62" s="12" t="s">
        <v>159</v>
      </c>
      <c r="C62" s="11">
        <v>209000.0</v>
      </c>
      <c r="D62" s="14" t="s">
        <v>15</v>
      </c>
      <c r="E62" s="15" t="s">
        <v>160</v>
      </c>
      <c r="F62" s="16">
        <v>60000.0</v>
      </c>
      <c r="G62" s="13">
        <f t="shared" si="19"/>
        <v>24000</v>
      </c>
      <c r="H62" s="13">
        <f t="shared" si="22"/>
        <v>36000</v>
      </c>
      <c r="I62" s="13">
        <f t="shared" si="28"/>
        <v>24000</v>
      </c>
      <c r="J62" s="13">
        <f t="shared" si="26"/>
        <v>36000</v>
      </c>
      <c r="K62" s="13">
        <f t="shared" si="27"/>
        <v>18000</v>
      </c>
      <c r="L62" s="13" t="s">
        <v>43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1">
        <f t="shared" si="4"/>
        <v>61</v>
      </c>
      <c r="B63" s="12" t="s">
        <v>161</v>
      </c>
      <c r="C63" s="11">
        <v>205000.0</v>
      </c>
      <c r="D63" s="14" t="s">
        <v>19</v>
      </c>
      <c r="E63" s="15" t="s">
        <v>162</v>
      </c>
      <c r="F63" s="16">
        <v>55000.0</v>
      </c>
      <c r="G63" s="13">
        <f t="shared" si="19"/>
        <v>22000</v>
      </c>
      <c r="H63" s="13">
        <f t="shared" si="22"/>
        <v>33000</v>
      </c>
      <c r="I63" s="13">
        <f t="shared" si="28"/>
        <v>22000</v>
      </c>
      <c r="J63" s="13">
        <f t="shared" si="26"/>
        <v>33000</v>
      </c>
      <c r="K63" s="13">
        <f t="shared" si="27"/>
        <v>16500</v>
      </c>
      <c r="L63" s="13" t="s">
        <v>46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1">
        <f t="shared" si="4"/>
        <v>62</v>
      </c>
      <c r="B64" s="12" t="s">
        <v>163</v>
      </c>
      <c r="C64" s="11">
        <v>204000.0</v>
      </c>
      <c r="D64" s="14" t="s">
        <v>15</v>
      </c>
      <c r="E64" s="15" t="s">
        <v>164</v>
      </c>
      <c r="F64" s="16">
        <v>60000.0</v>
      </c>
      <c r="G64" s="13">
        <f t="shared" si="19"/>
        <v>24000</v>
      </c>
      <c r="H64" s="13">
        <f t="shared" si="22"/>
        <v>36000</v>
      </c>
      <c r="I64" s="13">
        <v>10000.0</v>
      </c>
      <c r="J64" s="13">
        <f t="shared" si="26"/>
        <v>15000</v>
      </c>
      <c r="K64" s="13">
        <f t="shared" si="27"/>
        <v>18000</v>
      </c>
      <c r="L64" s="14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1">
        <f t="shared" si="4"/>
        <v>63</v>
      </c>
      <c r="B65" s="12" t="s">
        <v>165</v>
      </c>
      <c r="C65" s="11">
        <v>203000.0</v>
      </c>
      <c r="D65" s="14" t="s">
        <v>29</v>
      </c>
      <c r="E65" s="15" t="s">
        <v>166</v>
      </c>
      <c r="F65" s="13">
        <v>50000.0</v>
      </c>
      <c r="G65" s="13">
        <f t="shared" si="19"/>
        <v>20000</v>
      </c>
      <c r="H65" s="13">
        <f t="shared" si="22"/>
        <v>30000</v>
      </c>
      <c r="I65" s="13">
        <f>G65</f>
        <v>20000</v>
      </c>
      <c r="J65" s="13">
        <f t="shared" si="26"/>
        <v>30000</v>
      </c>
      <c r="K65" s="13">
        <f t="shared" si="27"/>
        <v>15000</v>
      </c>
      <c r="L65" s="13" t="s">
        <v>36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1">
        <f t="shared" si="4"/>
        <v>64</v>
      </c>
      <c r="B66" s="12" t="s">
        <v>167</v>
      </c>
      <c r="C66" s="20">
        <v>203000.0</v>
      </c>
      <c r="D66" s="14" t="s">
        <v>168</v>
      </c>
      <c r="E66" s="15" t="s">
        <v>169</v>
      </c>
      <c r="F66" s="16">
        <v>50000.0</v>
      </c>
      <c r="G66" s="13">
        <f t="shared" si="19"/>
        <v>20000</v>
      </c>
      <c r="H66" s="13">
        <f t="shared" si="22"/>
        <v>30000</v>
      </c>
      <c r="I66" s="13">
        <v>10000.0</v>
      </c>
      <c r="J66" s="13">
        <f t="shared" ref="J66:K66" si="29">J29</f>
        <v>84000</v>
      </c>
      <c r="K66" s="13">
        <f t="shared" si="29"/>
        <v>42000</v>
      </c>
      <c r="L66" s="13" t="s">
        <v>170</v>
      </c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11">
        <f t="shared" si="4"/>
        <v>65</v>
      </c>
      <c r="B67" s="12" t="s">
        <v>171</v>
      </c>
      <c r="C67" s="11">
        <v>202000.0</v>
      </c>
      <c r="D67" s="40" t="s">
        <v>15</v>
      </c>
      <c r="E67" s="37" t="s">
        <v>172</v>
      </c>
      <c r="F67" s="16">
        <v>140000.0</v>
      </c>
      <c r="G67" s="13">
        <f t="shared" si="19"/>
        <v>56000</v>
      </c>
      <c r="H67" s="13">
        <f t="shared" si="22"/>
        <v>84000</v>
      </c>
      <c r="I67" s="13">
        <f t="shared" ref="I67:I68" si="30">G67</f>
        <v>56000</v>
      </c>
      <c r="J67" s="13">
        <f t="shared" ref="J67:J77" si="31">I67*1.5</f>
        <v>84000</v>
      </c>
      <c r="K67" s="13">
        <f t="shared" ref="K67:K77" si="32">F67*30%</f>
        <v>42000</v>
      </c>
      <c r="L67" s="13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1">
        <f t="shared" si="4"/>
        <v>66</v>
      </c>
      <c r="B68" s="12" t="s">
        <v>173</v>
      </c>
      <c r="C68" s="11">
        <v>202000.0</v>
      </c>
      <c r="D68" s="14" t="s">
        <v>15</v>
      </c>
      <c r="E68" s="15" t="s">
        <v>174</v>
      </c>
      <c r="F68" s="16">
        <v>75000.0</v>
      </c>
      <c r="G68" s="13">
        <f t="shared" si="19"/>
        <v>30000</v>
      </c>
      <c r="H68" s="13">
        <f t="shared" si="22"/>
        <v>45000</v>
      </c>
      <c r="I68" s="13">
        <f t="shared" si="30"/>
        <v>30000</v>
      </c>
      <c r="J68" s="13">
        <f t="shared" si="31"/>
        <v>45000</v>
      </c>
      <c r="K68" s="13">
        <f t="shared" si="32"/>
        <v>22500</v>
      </c>
      <c r="L68" s="13" t="s">
        <v>175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1">
        <f t="shared" si="4"/>
        <v>67</v>
      </c>
      <c r="B69" s="12" t="s">
        <v>176</v>
      </c>
      <c r="C69" s="11">
        <v>188000.0</v>
      </c>
      <c r="D69" s="14" t="s">
        <v>15</v>
      </c>
      <c r="E69" s="27" t="s">
        <v>177</v>
      </c>
      <c r="F69" s="16">
        <v>60000.0</v>
      </c>
      <c r="G69" s="13">
        <f t="shared" si="19"/>
        <v>24000</v>
      </c>
      <c r="H69" s="13">
        <f t="shared" si="22"/>
        <v>36000</v>
      </c>
      <c r="I69" s="13">
        <v>10000.0</v>
      </c>
      <c r="J69" s="13">
        <f t="shared" si="31"/>
        <v>15000</v>
      </c>
      <c r="K69" s="13">
        <f t="shared" si="32"/>
        <v>18000</v>
      </c>
      <c r="L69" s="14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1">
        <f t="shared" si="4"/>
        <v>68</v>
      </c>
      <c r="B70" s="12" t="s">
        <v>178</v>
      </c>
      <c r="C70" s="20">
        <v>160000.0</v>
      </c>
      <c r="D70" s="14" t="s">
        <v>125</v>
      </c>
      <c r="E70" s="39" t="s">
        <v>179</v>
      </c>
      <c r="F70" s="41">
        <v>95000.0</v>
      </c>
      <c r="G70" s="13">
        <f t="shared" si="19"/>
        <v>38000</v>
      </c>
      <c r="H70" s="13">
        <f t="shared" si="22"/>
        <v>57000</v>
      </c>
      <c r="I70" s="13">
        <f t="shared" ref="I70:I74" si="33">G70</f>
        <v>38000</v>
      </c>
      <c r="J70" s="13">
        <f t="shared" si="31"/>
        <v>57000</v>
      </c>
      <c r="K70" s="13">
        <f t="shared" si="32"/>
        <v>28500</v>
      </c>
      <c r="L70" s="20" t="s">
        <v>180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1">
        <f t="shared" si="4"/>
        <v>69</v>
      </c>
      <c r="B71" s="12" t="s">
        <v>181</v>
      </c>
      <c r="C71" s="11">
        <v>158000.0</v>
      </c>
      <c r="D71" s="14" t="s">
        <v>29</v>
      </c>
      <c r="E71" s="19" t="s">
        <v>182</v>
      </c>
      <c r="F71" s="13">
        <v>45000.0</v>
      </c>
      <c r="G71" s="13">
        <f t="shared" si="19"/>
        <v>18000</v>
      </c>
      <c r="H71" s="13">
        <f t="shared" si="22"/>
        <v>27000</v>
      </c>
      <c r="I71" s="13">
        <f t="shared" si="33"/>
        <v>18000</v>
      </c>
      <c r="J71" s="13">
        <f t="shared" si="31"/>
        <v>27000</v>
      </c>
      <c r="K71" s="13">
        <f t="shared" si="32"/>
        <v>13500</v>
      </c>
      <c r="L71" s="13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1">
        <f t="shared" si="4"/>
        <v>70</v>
      </c>
      <c r="B72" s="12" t="s">
        <v>183</v>
      </c>
      <c r="C72" s="11">
        <v>155000.0</v>
      </c>
      <c r="D72" s="14" t="s">
        <v>19</v>
      </c>
      <c r="E72" s="15" t="s">
        <v>184</v>
      </c>
      <c r="F72" s="16">
        <v>90000.0</v>
      </c>
      <c r="G72" s="13">
        <f t="shared" si="19"/>
        <v>36000</v>
      </c>
      <c r="H72" s="13">
        <f t="shared" si="22"/>
        <v>54000</v>
      </c>
      <c r="I72" s="13">
        <f t="shared" si="33"/>
        <v>36000</v>
      </c>
      <c r="J72" s="13">
        <f t="shared" si="31"/>
        <v>54000</v>
      </c>
      <c r="K72" s="13">
        <f t="shared" si="32"/>
        <v>27000</v>
      </c>
      <c r="L72" s="13" t="s">
        <v>36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1">
        <f t="shared" si="4"/>
        <v>71</v>
      </c>
      <c r="B73" s="26" t="s">
        <v>185</v>
      </c>
      <c r="C73" s="11">
        <v>152000.0</v>
      </c>
      <c r="D73" s="14" t="s">
        <v>29</v>
      </c>
      <c r="E73" s="15" t="s">
        <v>186</v>
      </c>
      <c r="F73" s="16">
        <v>40000.0</v>
      </c>
      <c r="G73" s="13">
        <f t="shared" si="19"/>
        <v>16000</v>
      </c>
      <c r="H73" s="13">
        <f t="shared" si="22"/>
        <v>24000</v>
      </c>
      <c r="I73" s="13">
        <f t="shared" si="33"/>
        <v>16000</v>
      </c>
      <c r="J73" s="13">
        <f t="shared" si="31"/>
        <v>24000</v>
      </c>
      <c r="K73" s="13">
        <f t="shared" si="32"/>
        <v>12000</v>
      </c>
      <c r="L73" s="14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1">
        <f t="shared" si="4"/>
        <v>72</v>
      </c>
      <c r="B74" s="12" t="s">
        <v>187</v>
      </c>
      <c r="C74" s="11">
        <v>139000.0</v>
      </c>
      <c r="D74" s="14" t="s">
        <v>29</v>
      </c>
      <c r="E74" s="42" t="s">
        <v>188</v>
      </c>
      <c r="F74" s="16">
        <v>35000.0</v>
      </c>
      <c r="G74" s="13">
        <f t="shared" si="19"/>
        <v>14000</v>
      </c>
      <c r="H74" s="13">
        <f t="shared" si="22"/>
        <v>21000</v>
      </c>
      <c r="I74" s="13">
        <f t="shared" si="33"/>
        <v>14000</v>
      </c>
      <c r="J74" s="13">
        <f t="shared" si="31"/>
        <v>21000</v>
      </c>
      <c r="K74" s="13">
        <f t="shared" si="32"/>
        <v>10500</v>
      </c>
      <c r="L74" s="13" t="s">
        <v>36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1">
        <f t="shared" si="4"/>
        <v>73</v>
      </c>
      <c r="B75" s="12" t="s">
        <v>189</v>
      </c>
      <c r="C75" s="11">
        <v>121000.0</v>
      </c>
      <c r="D75" s="14" t="s">
        <v>29</v>
      </c>
      <c r="E75" s="15" t="s">
        <v>190</v>
      </c>
      <c r="F75" s="16">
        <v>35000.0</v>
      </c>
      <c r="G75" s="13">
        <f t="shared" si="19"/>
        <v>14000</v>
      </c>
      <c r="H75" s="13">
        <f t="shared" si="22"/>
        <v>21000</v>
      </c>
      <c r="I75" s="13">
        <v>10000.0</v>
      </c>
      <c r="J75" s="13">
        <f t="shared" si="31"/>
        <v>15000</v>
      </c>
      <c r="K75" s="13">
        <f t="shared" si="32"/>
        <v>10500</v>
      </c>
      <c r="L75" s="13" t="s">
        <v>191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1">
        <f t="shared" si="4"/>
        <v>74</v>
      </c>
      <c r="B76" s="12" t="s">
        <v>192</v>
      </c>
      <c r="C76" s="11">
        <v>117000.0</v>
      </c>
      <c r="D76" s="14" t="s">
        <v>19</v>
      </c>
      <c r="E76" s="15" t="s">
        <v>193</v>
      </c>
      <c r="F76" s="13">
        <v>25000.0</v>
      </c>
      <c r="G76" s="13">
        <f t="shared" si="19"/>
        <v>10000</v>
      </c>
      <c r="H76" s="13">
        <f t="shared" si="22"/>
        <v>15000</v>
      </c>
      <c r="I76" s="13">
        <f>G76</f>
        <v>10000</v>
      </c>
      <c r="J76" s="13">
        <f t="shared" si="31"/>
        <v>15000</v>
      </c>
      <c r="K76" s="13">
        <f t="shared" si="32"/>
        <v>7500</v>
      </c>
      <c r="L76" s="13" t="s">
        <v>46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1">
        <f t="shared" si="4"/>
        <v>75</v>
      </c>
      <c r="B77" s="12" t="s">
        <v>194</v>
      </c>
      <c r="C77" s="11">
        <v>114000.0</v>
      </c>
      <c r="D77" s="14" t="s">
        <v>15</v>
      </c>
      <c r="E77" s="19" t="s">
        <v>195</v>
      </c>
      <c r="F77" s="16">
        <v>30000.0</v>
      </c>
      <c r="G77" s="13">
        <f t="shared" si="19"/>
        <v>12000</v>
      </c>
      <c r="H77" s="13">
        <f t="shared" si="22"/>
        <v>18000</v>
      </c>
      <c r="I77" s="13">
        <v>10000.0</v>
      </c>
      <c r="J77" s="13">
        <f t="shared" si="31"/>
        <v>15000</v>
      </c>
      <c r="K77" s="13">
        <f t="shared" si="32"/>
        <v>9000</v>
      </c>
      <c r="L77" s="13" t="s">
        <v>36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1">
        <f t="shared" si="4"/>
        <v>76</v>
      </c>
      <c r="B78" s="26" t="s">
        <v>196</v>
      </c>
      <c r="C78" s="43">
        <v>114000.0</v>
      </c>
      <c r="D78" s="7" t="s">
        <v>125</v>
      </c>
      <c r="E78" s="35" t="s">
        <v>197</v>
      </c>
      <c r="F78" s="13">
        <v>70000.0</v>
      </c>
      <c r="G78" s="13">
        <v>15000.0</v>
      </c>
      <c r="H78" s="13">
        <v>25000.0</v>
      </c>
      <c r="I78" s="13">
        <v>30000.0</v>
      </c>
      <c r="J78" s="13">
        <v>55000.0</v>
      </c>
      <c r="K78" s="13">
        <v>25000.0</v>
      </c>
      <c r="L78" s="44" t="s">
        <v>198</v>
      </c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11">
        <f t="shared" si="4"/>
        <v>77</v>
      </c>
      <c r="B79" s="12" t="s">
        <v>199</v>
      </c>
      <c r="C79" s="11">
        <v>110000.0</v>
      </c>
      <c r="D79" s="14" t="s">
        <v>15</v>
      </c>
      <c r="E79" s="15" t="s">
        <v>200</v>
      </c>
      <c r="F79" s="13">
        <v>35000.0</v>
      </c>
      <c r="G79" s="13">
        <f t="shared" ref="G79:G99" si="34">F79*40%</f>
        <v>14000</v>
      </c>
      <c r="H79" s="13">
        <f t="shared" ref="H79:H99" si="35">G79*1.5</f>
        <v>21000</v>
      </c>
      <c r="I79" s="13">
        <f>G79</f>
        <v>14000</v>
      </c>
      <c r="J79" s="13">
        <f t="shared" ref="J79:J89" si="36">I79*1.5</f>
        <v>21000</v>
      </c>
      <c r="K79" s="13">
        <f t="shared" ref="K79:K89" si="37">F79*30%</f>
        <v>10500</v>
      </c>
      <c r="L79" s="13" t="s">
        <v>94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1">
        <f t="shared" si="4"/>
        <v>78</v>
      </c>
      <c r="B80" s="12" t="s">
        <v>192</v>
      </c>
      <c r="C80" s="11">
        <v>110000.0</v>
      </c>
      <c r="D80" s="14" t="s">
        <v>19</v>
      </c>
      <c r="E80" s="15" t="s">
        <v>201</v>
      </c>
      <c r="F80" s="13">
        <v>20000.0</v>
      </c>
      <c r="G80" s="13">
        <f t="shared" si="34"/>
        <v>8000</v>
      </c>
      <c r="H80" s="13">
        <f t="shared" si="35"/>
        <v>12000</v>
      </c>
      <c r="I80" s="13">
        <v>10000.0</v>
      </c>
      <c r="J80" s="13">
        <f t="shared" si="36"/>
        <v>15000</v>
      </c>
      <c r="K80" s="13">
        <f t="shared" si="37"/>
        <v>6000</v>
      </c>
      <c r="L80" s="13" t="s">
        <v>46</v>
      </c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11">
        <f t="shared" si="4"/>
        <v>79</v>
      </c>
      <c r="B81" s="12" t="s">
        <v>202</v>
      </c>
      <c r="C81" s="18">
        <v>144000.0</v>
      </c>
      <c r="D81" s="14" t="s">
        <v>15</v>
      </c>
      <c r="E81" s="15" t="s">
        <v>203</v>
      </c>
      <c r="F81" s="16">
        <v>35000.0</v>
      </c>
      <c r="G81" s="13">
        <f t="shared" si="34"/>
        <v>14000</v>
      </c>
      <c r="H81" s="13">
        <f t="shared" si="35"/>
        <v>21000</v>
      </c>
      <c r="I81" s="13">
        <v>10000.0</v>
      </c>
      <c r="J81" s="13">
        <f t="shared" si="36"/>
        <v>15000</v>
      </c>
      <c r="K81" s="13">
        <f t="shared" si="37"/>
        <v>10500</v>
      </c>
      <c r="L81" s="13" t="s">
        <v>36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1">
        <f t="shared" si="4"/>
        <v>80</v>
      </c>
      <c r="B82" s="12" t="s">
        <v>204</v>
      </c>
      <c r="C82" s="11">
        <v>103000.0</v>
      </c>
      <c r="D82" s="14" t="s">
        <v>15</v>
      </c>
      <c r="E82" s="15" t="s">
        <v>205</v>
      </c>
      <c r="F82" s="13">
        <v>30000.0</v>
      </c>
      <c r="G82" s="13">
        <f t="shared" si="34"/>
        <v>12000</v>
      </c>
      <c r="H82" s="13">
        <f t="shared" si="35"/>
        <v>18000</v>
      </c>
      <c r="I82" s="13">
        <v>10000.0</v>
      </c>
      <c r="J82" s="13">
        <f t="shared" si="36"/>
        <v>15000</v>
      </c>
      <c r="K82" s="13">
        <f t="shared" si="37"/>
        <v>9000</v>
      </c>
      <c r="L82" s="13" t="s">
        <v>36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1">
        <f t="shared" si="4"/>
        <v>81</v>
      </c>
      <c r="B83" s="12" t="s">
        <v>206</v>
      </c>
      <c r="C83" s="11">
        <v>101000.0</v>
      </c>
      <c r="D83" s="14" t="s">
        <v>125</v>
      </c>
      <c r="E83" s="15" t="s">
        <v>207</v>
      </c>
      <c r="F83" s="16">
        <v>45000.0</v>
      </c>
      <c r="G83" s="13">
        <f t="shared" si="34"/>
        <v>18000</v>
      </c>
      <c r="H83" s="13">
        <f t="shared" si="35"/>
        <v>27000</v>
      </c>
      <c r="I83" s="13">
        <v>10000.0</v>
      </c>
      <c r="J83" s="13">
        <f t="shared" si="36"/>
        <v>15000</v>
      </c>
      <c r="K83" s="13">
        <f t="shared" si="37"/>
        <v>13500</v>
      </c>
      <c r="L83" s="13" t="s">
        <v>208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1">
        <f t="shared" si="4"/>
        <v>82</v>
      </c>
      <c r="B84" s="12" t="s">
        <v>209</v>
      </c>
      <c r="C84" s="11">
        <v>97500.0</v>
      </c>
      <c r="D84" s="14" t="s">
        <v>15</v>
      </c>
      <c r="E84" s="15" t="s">
        <v>210</v>
      </c>
      <c r="F84" s="13">
        <v>25000.0</v>
      </c>
      <c r="G84" s="13">
        <f t="shared" si="34"/>
        <v>10000</v>
      </c>
      <c r="H84" s="13">
        <f t="shared" si="35"/>
        <v>15000</v>
      </c>
      <c r="I84" s="13">
        <v>15000.0</v>
      </c>
      <c r="J84" s="13">
        <f t="shared" si="36"/>
        <v>22500</v>
      </c>
      <c r="K84" s="13">
        <f t="shared" si="37"/>
        <v>7500</v>
      </c>
      <c r="L84" s="13" t="s">
        <v>211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1">
        <f t="shared" si="4"/>
        <v>83</v>
      </c>
      <c r="B85" s="12" t="s">
        <v>212</v>
      </c>
      <c r="C85" s="11">
        <v>97300.0</v>
      </c>
      <c r="D85" s="12" t="s">
        <v>213</v>
      </c>
      <c r="E85" s="34" t="s">
        <v>214</v>
      </c>
      <c r="F85" s="18">
        <v>55000.0</v>
      </c>
      <c r="G85" s="13">
        <f t="shared" si="34"/>
        <v>22000</v>
      </c>
      <c r="H85" s="13">
        <f t="shared" si="35"/>
        <v>33000</v>
      </c>
      <c r="I85" s="13">
        <v>15000.0</v>
      </c>
      <c r="J85" s="13">
        <f t="shared" si="36"/>
        <v>22500</v>
      </c>
      <c r="K85" s="13">
        <f t="shared" si="37"/>
        <v>16500</v>
      </c>
      <c r="L85" s="11" t="s">
        <v>36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1">
        <f t="shared" si="4"/>
        <v>84</v>
      </c>
      <c r="B86" s="12" t="s">
        <v>215</v>
      </c>
      <c r="C86" s="11">
        <v>95800.0</v>
      </c>
      <c r="D86" s="14" t="s">
        <v>29</v>
      </c>
      <c r="E86" s="37" t="s">
        <v>216</v>
      </c>
      <c r="F86" s="16">
        <v>30000.0</v>
      </c>
      <c r="G86" s="13">
        <f t="shared" si="34"/>
        <v>12000</v>
      </c>
      <c r="H86" s="13">
        <f t="shared" si="35"/>
        <v>18000</v>
      </c>
      <c r="I86" s="13">
        <v>15000.0</v>
      </c>
      <c r="J86" s="13">
        <f t="shared" si="36"/>
        <v>22500</v>
      </c>
      <c r="K86" s="13">
        <f t="shared" si="37"/>
        <v>9000</v>
      </c>
      <c r="L86" s="16" t="s">
        <v>36</v>
      </c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11">
        <f t="shared" si="4"/>
        <v>85</v>
      </c>
      <c r="B87" s="26" t="s">
        <v>217</v>
      </c>
      <c r="C87" s="18">
        <v>95000.0</v>
      </c>
      <c r="D87" s="14" t="s">
        <v>125</v>
      </c>
      <c r="E87" s="45" t="s">
        <v>218</v>
      </c>
      <c r="F87" s="16">
        <v>40000.0</v>
      </c>
      <c r="G87" s="13">
        <f t="shared" si="34"/>
        <v>16000</v>
      </c>
      <c r="H87" s="13">
        <f t="shared" si="35"/>
        <v>24000</v>
      </c>
      <c r="I87" s="13">
        <v>10000.0</v>
      </c>
      <c r="J87" s="13">
        <f t="shared" si="36"/>
        <v>15000</v>
      </c>
      <c r="K87" s="13">
        <f t="shared" si="37"/>
        <v>12000</v>
      </c>
      <c r="L87" s="13" t="s">
        <v>24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1">
        <f t="shared" si="4"/>
        <v>86</v>
      </c>
      <c r="B88" s="12" t="s">
        <v>219</v>
      </c>
      <c r="C88" s="11">
        <v>94200.0</v>
      </c>
      <c r="D88" s="14" t="s">
        <v>29</v>
      </c>
      <c r="E88" s="15" t="s">
        <v>220</v>
      </c>
      <c r="F88" s="13">
        <v>20000.0</v>
      </c>
      <c r="G88" s="13">
        <f t="shared" si="34"/>
        <v>8000</v>
      </c>
      <c r="H88" s="13">
        <f t="shared" si="35"/>
        <v>12000</v>
      </c>
      <c r="I88" s="13">
        <f>G88</f>
        <v>8000</v>
      </c>
      <c r="J88" s="13">
        <f t="shared" si="36"/>
        <v>12000</v>
      </c>
      <c r="K88" s="13">
        <f t="shared" si="37"/>
        <v>6000</v>
      </c>
      <c r="L88" s="13" t="s">
        <v>97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1">
        <f t="shared" si="4"/>
        <v>87</v>
      </c>
      <c r="B89" s="12" t="s">
        <v>221</v>
      </c>
      <c r="C89" s="11">
        <v>91100.0</v>
      </c>
      <c r="D89" s="14" t="s">
        <v>222</v>
      </c>
      <c r="E89" s="15" t="s">
        <v>223</v>
      </c>
      <c r="F89" s="13">
        <v>30000.0</v>
      </c>
      <c r="G89" s="13">
        <f t="shared" si="34"/>
        <v>12000</v>
      </c>
      <c r="H89" s="13">
        <f t="shared" si="35"/>
        <v>18000</v>
      </c>
      <c r="I89" s="13">
        <v>10000.0</v>
      </c>
      <c r="J89" s="13">
        <f t="shared" si="36"/>
        <v>15000</v>
      </c>
      <c r="K89" s="13">
        <f t="shared" si="37"/>
        <v>9000</v>
      </c>
      <c r="L89" s="13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1">
        <f t="shared" si="4"/>
        <v>88</v>
      </c>
      <c r="B90" s="12" t="s">
        <v>224</v>
      </c>
      <c r="C90" s="23">
        <v>79300.0</v>
      </c>
      <c r="D90" s="14" t="s">
        <v>15</v>
      </c>
      <c r="E90" s="32" t="s">
        <v>225</v>
      </c>
      <c r="F90" s="16">
        <v>40000.0</v>
      </c>
      <c r="G90" s="13">
        <f t="shared" si="34"/>
        <v>16000</v>
      </c>
      <c r="H90" s="13">
        <f t="shared" si="35"/>
        <v>24000</v>
      </c>
      <c r="I90" s="13">
        <v>10000.0</v>
      </c>
      <c r="J90" s="13">
        <f t="shared" ref="J90:K90" si="38">J55</f>
        <v>132000</v>
      </c>
      <c r="K90" s="13">
        <f t="shared" si="38"/>
        <v>66000</v>
      </c>
      <c r="L90" s="13" t="s">
        <v>61</v>
      </c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11">
        <f t="shared" si="4"/>
        <v>89</v>
      </c>
      <c r="B91" s="12" t="s">
        <v>226</v>
      </c>
      <c r="C91" s="18">
        <v>109000.0</v>
      </c>
      <c r="D91" s="14" t="s">
        <v>15</v>
      </c>
      <c r="E91" s="15" t="s">
        <v>227</v>
      </c>
      <c r="F91" s="16">
        <v>35000.0</v>
      </c>
      <c r="G91" s="13">
        <f t="shared" si="34"/>
        <v>14000</v>
      </c>
      <c r="H91" s="13">
        <f t="shared" si="35"/>
        <v>21000</v>
      </c>
      <c r="I91" s="13">
        <v>10000.0</v>
      </c>
      <c r="J91" s="13">
        <f>I91*1.5</f>
        <v>15000</v>
      </c>
      <c r="K91" s="13">
        <f>F91*30%</f>
        <v>10500</v>
      </c>
      <c r="L91" s="13" t="s">
        <v>36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1">
        <f t="shared" si="4"/>
        <v>90</v>
      </c>
      <c r="B92" s="12" t="s">
        <v>228</v>
      </c>
      <c r="C92" s="11">
        <v>72800.0</v>
      </c>
      <c r="D92" s="14" t="s">
        <v>15</v>
      </c>
      <c r="E92" s="15" t="s">
        <v>229</v>
      </c>
      <c r="F92" s="13">
        <v>30000.0</v>
      </c>
      <c r="G92" s="13">
        <f t="shared" si="34"/>
        <v>12000</v>
      </c>
      <c r="H92" s="13">
        <f t="shared" si="35"/>
        <v>18000</v>
      </c>
      <c r="I92" s="16">
        <v>15000.0</v>
      </c>
      <c r="J92" s="16">
        <v>20000.0</v>
      </c>
      <c r="K92" s="16">
        <v>10000.0</v>
      </c>
      <c r="L92" s="14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1">
        <f t="shared" si="4"/>
        <v>91</v>
      </c>
      <c r="B93" s="12" t="s">
        <v>230</v>
      </c>
      <c r="C93" s="20">
        <v>68100.0</v>
      </c>
      <c r="D93" s="14" t="s">
        <v>222</v>
      </c>
      <c r="E93" s="15" t="s">
        <v>231</v>
      </c>
      <c r="F93" s="16">
        <v>20000.0</v>
      </c>
      <c r="G93" s="13">
        <f t="shared" si="34"/>
        <v>8000</v>
      </c>
      <c r="H93" s="13">
        <f t="shared" si="35"/>
        <v>12000</v>
      </c>
      <c r="I93" s="13">
        <v>10000.0</v>
      </c>
      <c r="J93" s="13">
        <f t="shared" ref="J93:K93" si="39">J58</f>
        <v>18000</v>
      </c>
      <c r="K93" s="13">
        <f t="shared" si="39"/>
        <v>9000</v>
      </c>
      <c r="L93" s="13" t="s">
        <v>232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11">
        <f t="shared" si="4"/>
        <v>92</v>
      </c>
      <c r="B94" s="12" t="s">
        <v>233</v>
      </c>
      <c r="C94" s="18">
        <v>50500.0</v>
      </c>
      <c r="D94" s="14" t="s">
        <v>125</v>
      </c>
      <c r="E94" s="19" t="s">
        <v>234</v>
      </c>
      <c r="F94" s="13">
        <v>30000.0</v>
      </c>
      <c r="G94" s="13">
        <f t="shared" si="34"/>
        <v>12000</v>
      </c>
      <c r="H94" s="13">
        <f t="shared" si="35"/>
        <v>18000</v>
      </c>
      <c r="I94" s="13">
        <f>G94</f>
        <v>12000</v>
      </c>
      <c r="J94" s="13">
        <f>I94*1.5</f>
        <v>18000</v>
      </c>
      <c r="K94" s="13">
        <f>F94*30%</f>
        <v>9000</v>
      </c>
      <c r="L94" s="16" t="s">
        <v>129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1">
        <f t="shared" si="4"/>
        <v>93</v>
      </c>
      <c r="B95" s="12" t="s">
        <v>235</v>
      </c>
      <c r="C95" s="18">
        <v>46400.0</v>
      </c>
      <c r="D95" s="14" t="s">
        <v>15</v>
      </c>
      <c r="E95" s="19" t="s">
        <v>236</v>
      </c>
      <c r="F95" s="16">
        <v>20000.0</v>
      </c>
      <c r="G95" s="13">
        <f t="shared" si="34"/>
        <v>8000</v>
      </c>
      <c r="H95" s="13">
        <f t="shared" si="35"/>
        <v>12000</v>
      </c>
      <c r="I95" s="13">
        <v>10000.0</v>
      </c>
      <c r="J95" s="16">
        <v>20000.0</v>
      </c>
      <c r="K95" s="16">
        <v>5000.0</v>
      </c>
      <c r="L95" s="14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1">
        <f t="shared" si="4"/>
        <v>94</v>
      </c>
      <c r="B96" s="26" t="s">
        <v>237</v>
      </c>
      <c r="C96" s="11">
        <v>39200.0</v>
      </c>
      <c r="D96" s="40" t="s">
        <v>55</v>
      </c>
      <c r="E96" s="19" t="s">
        <v>238</v>
      </c>
      <c r="F96" s="13">
        <v>15000.0</v>
      </c>
      <c r="G96" s="13">
        <f t="shared" si="34"/>
        <v>6000</v>
      </c>
      <c r="H96" s="13">
        <f t="shared" si="35"/>
        <v>9000</v>
      </c>
      <c r="I96" s="13">
        <v>10000.0</v>
      </c>
      <c r="J96" s="13">
        <f t="shared" ref="J96:J99" si="40">I96*1.5</f>
        <v>15000</v>
      </c>
      <c r="K96" s="13">
        <f t="shared" ref="K96:K99" si="41">F96*30%</f>
        <v>4500</v>
      </c>
      <c r="L96" s="13" t="s">
        <v>36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1">
        <f t="shared" si="4"/>
        <v>95</v>
      </c>
      <c r="B97" s="12" t="s">
        <v>239</v>
      </c>
      <c r="C97" s="11">
        <v>36600.0</v>
      </c>
      <c r="D97" s="14" t="s">
        <v>15</v>
      </c>
      <c r="E97" s="15" t="s">
        <v>240</v>
      </c>
      <c r="F97" s="13">
        <v>20000.0</v>
      </c>
      <c r="G97" s="13">
        <f t="shared" si="34"/>
        <v>8000</v>
      </c>
      <c r="H97" s="13">
        <f t="shared" si="35"/>
        <v>12000</v>
      </c>
      <c r="I97" s="13">
        <v>10000.0</v>
      </c>
      <c r="J97" s="13">
        <f t="shared" si="40"/>
        <v>15000</v>
      </c>
      <c r="K97" s="13">
        <f t="shared" si="41"/>
        <v>6000</v>
      </c>
      <c r="L97" s="13" t="s">
        <v>36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1">
        <f t="shared" si="4"/>
        <v>96</v>
      </c>
      <c r="B98" s="12" t="s">
        <v>241</v>
      </c>
      <c r="C98" s="11">
        <v>30500.0</v>
      </c>
      <c r="D98" s="14" t="s">
        <v>15</v>
      </c>
      <c r="E98" s="15" t="s">
        <v>242</v>
      </c>
      <c r="F98" s="13">
        <v>30000.0</v>
      </c>
      <c r="G98" s="13">
        <f t="shared" si="34"/>
        <v>12000</v>
      </c>
      <c r="H98" s="13">
        <f t="shared" si="35"/>
        <v>18000</v>
      </c>
      <c r="I98" s="13">
        <f>G98</f>
        <v>12000</v>
      </c>
      <c r="J98" s="13">
        <f t="shared" si="40"/>
        <v>18000</v>
      </c>
      <c r="K98" s="13">
        <f t="shared" si="41"/>
        <v>9000</v>
      </c>
      <c r="L98" s="13" t="s">
        <v>27</v>
      </c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11">
        <f t="shared" si="4"/>
        <v>97</v>
      </c>
      <c r="B99" s="12" t="s">
        <v>243</v>
      </c>
      <c r="C99" s="11">
        <v>23800.0</v>
      </c>
      <c r="D99" s="14" t="s">
        <v>152</v>
      </c>
      <c r="E99" s="15" t="s">
        <v>244</v>
      </c>
      <c r="F99" s="16">
        <v>20000.0</v>
      </c>
      <c r="G99" s="13">
        <f t="shared" si="34"/>
        <v>8000</v>
      </c>
      <c r="H99" s="13">
        <f t="shared" si="35"/>
        <v>12000</v>
      </c>
      <c r="I99" s="13">
        <v>10000.0</v>
      </c>
      <c r="J99" s="13">
        <f t="shared" si="40"/>
        <v>15000</v>
      </c>
      <c r="K99" s="13">
        <f t="shared" si="41"/>
        <v>6000</v>
      </c>
      <c r="L99" s="13" t="s">
        <v>245</v>
      </c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11">
        <f t="shared" si="4"/>
        <v>98</v>
      </c>
      <c r="B100" s="12" t="s">
        <v>246</v>
      </c>
      <c r="C100" s="16">
        <v>23800.0</v>
      </c>
      <c r="D100" s="14" t="s">
        <v>247</v>
      </c>
      <c r="E100" s="46" t="s">
        <v>248</v>
      </c>
      <c r="F100" s="18" t="s">
        <v>249</v>
      </c>
      <c r="G100" s="18" t="s">
        <v>249</v>
      </c>
      <c r="H100" s="18" t="s">
        <v>249</v>
      </c>
      <c r="I100" s="18" t="s">
        <v>249</v>
      </c>
      <c r="J100" s="18" t="s">
        <v>249</v>
      </c>
      <c r="K100" s="18" t="s">
        <v>249</v>
      </c>
      <c r="L100" s="16" t="s">
        <v>36</v>
      </c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11">
        <f t="shared" si="4"/>
        <v>99</v>
      </c>
      <c r="B101" s="12" t="s">
        <v>250</v>
      </c>
      <c r="C101" s="11">
        <v>22200.0</v>
      </c>
      <c r="D101" s="14" t="s">
        <v>15</v>
      </c>
      <c r="E101" s="15" t="s">
        <v>251</v>
      </c>
      <c r="F101" s="13">
        <v>15000.0</v>
      </c>
      <c r="G101" s="13">
        <f t="shared" ref="G101:G104" si="42">F101*40%</f>
        <v>6000</v>
      </c>
      <c r="H101" s="13">
        <f t="shared" ref="H101:H104" si="43">G101*1.5</f>
        <v>9000</v>
      </c>
      <c r="I101" s="13">
        <v>10000.0</v>
      </c>
      <c r="J101" s="13">
        <f t="shared" ref="J101:J104" si="44">I101*1.5</f>
        <v>15000</v>
      </c>
      <c r="K101" s="13">
        <f t="shared" ref="K101:K104" si="45">F101*30%</f>
        <v>4500</v>
      </c>
      <c r="L101" s="13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11">
        <f t="shared" si="4"/>
        <v>100</v>
      </c>
      <c r="B102" s="12" t="s">
        <v>252</v>
      </c>
      <c r="C102" s="18">
        <v>21200.0</v>
      </c>
      <c r="D102" s="14" t="s">
        <v>15</v>
      </c>
      <c r="E102" s="19" t="s">
        <v>253</v>
      </c>
      <c r="F102" s="16">
        <v>30000.0</v>
      </c>
      <c r="G102" s="13">
        <f t="shared" si="42"/>
        <v>12000</v>
      </c>
      <c r="H102" s="13">
        <f t="shared" si="43"/>
        <v>18000</v>
      </c>
      <c r="I102" s="13">
        <v>10000.0</v>
      </c>
      <c r="J102" s="13">
        <f t="shared" si="44"/>
        <v>15000</v>
      </c>
      <c r="K102" s="13">
        <f t="shared" si="45"/>
        <v>9000</v>
      </c>
      <c r="L102" s="16" t="s">
        <v>129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1">
        <f t="shared" si="4"/>
        <v>101</v>
      </c>
      <c r="B103" s="12" t="s">
        <v>254</v>
      </c>
      <c r="C103" s="18">
        <v>161000.0</v>
      </c>
      <c r="D103" s="14" t="s">
        <v>15</v>
      </c>
      <c r="E103" s="15" t="s">
        <v>255</v>
      </c>
      <c r="F103" s="16">
        <v>55000.0</v>
      </c>
      <c r="G103" s="13">
        <f t="shared" si="42"/>
        <v>22000</v>
      </c>
      <c r="H103" s="13">
        <f t="shared" si="43"/>
        <v>33000</v>
      </c>
      <c r="I103" s="13">
        <v>10000.0</v>
      </c>
      <c r="J103" s="13">
        <f t="shared" si="44"/>
        <v>15000</v>
      </c>
      <c r="K103" s="13">
        <f t="shared" si="45"/>
        <v>16500</v>
      </c>
      <c r="L103" s="13" t="s">
        <v>24</v>
      </c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11">
        <f t="shared" si="4"/>
        <v>102</v>
      </c>
      <c r="B104" s="12" t="s">
        <v>256</v>
      </c>
      <c r="C104" s="11">
        <v>20000.0</v>
      </c>
      <c r="D104" s="14" t="s">
        <v>29</v>
      </c>
      <c r="E104" s="15" t="s">
        <v>257</v>
      </c>
      <c r="F104" s="13">
        <v>10000.0</v>
      </c>
      <c r="G104" s="13">
        <f t="shared" si="42"/>
        <v>4000</v>
      </c>
      <c r="H104" s="13">
        <f t="shared" si="43"/>
        <v>6000</v>
      </c>
      <c r="I104" s="13">
        <v>10000.0</v>
      </c>
      <c r="J104" s="13">
        <f t="shared" si="44"/>
        <v>15000</v>
      </c>
      <c r="K104" s="13">
        <f t="shared" si="45"/>
        <v>3000</v>
      </c>
      <c r="L104" s="13" t="s">
        <v>36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1">
        <f t="shared" si="4"/>
        <v>103</v>
      </c>
      <c r="B105" s="26" t="s">
        <v>258</v>
      </c>
      <c r="C105" s="16">
        <v>17300.0</v>
      </c>
      <c r="D105" s="14" t="s">
        <v>125</v>
      </c>
      <c r="E105" s="46" t="s">
        <v>259</v>
      </c>
      <c r="F105" s="18">
        <v>20000.0</v>
      </c>
      <c r="G105" s="20">
        <v>7000.0</v>
      </c>
      <c r="H105" s="20">
        <v>10000.0</v>
      </c>
      <c r="I105" s="13">
        <v>20000.0</v>
      </c>
      <c r="J105" s="13">
        <v>25000.0</v>
      </c>
      <c r="K105" s="13">
        <v>10000.0</v>
      </c>
      <c r="L105" s="16" t="s">
        <v>46</v>
      </c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11">
        <f t="shared" si="4"/>
        <v>104</v>
      </c>
      <c r="B106" s="12" t="s">
        <v>260</v>
      </c>
      <c r="C106" s="11">
        <v>16900.0</v>
      </c>
      <c r="D106" s="14" t="s">
        <v>15</v>
      </c>
      <c r="E106" s="15" t="s">
        <v>261</v>
      </c>
      <c r="F106" s="13">
        <v>15000.0</v>
      </c>
      <c r="G106" s="13">
        <f>F106*40%</f>
        <v>6000</v>
      </c>
      <c r="H106" s="13">
        <f>G106*1.5</f>
        <v>9000</v>
      </c>
      <c r="I106" s="13">
        <v>10000.0</v>
      </c>
      <c r="J106" s="13">
        <f>I106*1.5</f>
        <v>15000</v>
      </c>
      <c r="K106" s="13">
        <f>F106*30%</f>
        <v>4500</v>
      </c>
      <c r="L106" s="13" t="s">
        <v>61</v>
      </c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11">
        <f t="shared" si="4"/>
        <v>105</v>
      </c>
      <c r="B107" s="12" t="s">
        <v>262</v>
      </c>
      <c r="C107" s="16">
        <v>15600.0</v>
      </c>
      <c r="D107" s="14" t="s">
        <v>15</v>
      </c>
      <c r="E107" s="46" t="s">
        <v>263</v>
      </c>
      <c r="F107" s="18">
        <v>20000.0</v>
      </c>
      <c r="G107" s="20">
        <v>7000.0</v>
      </c>
      <c r="H107" s="20">
        <v>10000.0</v>
      </c>
      <c r="I107" s="13">
        <v>20000.0</v>
      </c>
      <c r="J107" s="13">
        <v>25000.0</v>
      </c>
      <c r="K107" s="13">
        <v>10000.0</v>
      </c>
      <c r="L107" s="16" t="s">
        <v>36</v>
      </c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11">
        <f t="shared" si="4"/>
        <v>106</v>
      </c>
      <c r="B108" s="12" t="s">
        <v>264</v>
      </c>
      <c r="C108" s="11">
        <v>14100.0</v>
      </c>
      <c r="D108" s="14" t="s">
        <v>29</v>
      </c>
      <c r="E108" s="15" t="s">
        <v>265</v>
      </c>
      <c r="F108" s="13">
        <v>20000.0</v>
      </c>
      <c r="G108" s="13">
        <f t="shared" ref="G108:G113" si="46">F108*40%</f>
        <v>8000</v>
      </c>
      <c r="H108" s="13">
        <f t="shared" ref="H108:H113" si="47">G108*1.5</f>
        <v>12000</v>
      </c>
      <c r="I108" s="13">
        <v>10000.0</v>
      </c>
      <c r="J108" s="13">
        <f t="shared" ref="J108:J113" si="48">I108*1.5</f>
        <v>15000</v>
      </c>
      <c r="K108" s="13">
        <f t="shared" ref="K108:K113" si="49">F108*30%</f>
        <v>6000</v>
      </c>
      <c r="L108" s="13" t="s">
        <v>175</v>
      </c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11">
        <f t="shared" si="4"/>
        <v>107</v>
      </c>
      <c r="B109" s="12" t="s">
        <v>266</v>
      </c>
      <c r="C109" s="18">
        <v>13500.0</v>
      </c>
      <c r="D109" s="14" t="s">
        <v>15</v>
      </c>
      <c r="E109" s="19" t="s">
        <v>267</v>
      </c>
      <c r="F109" s="13">
        <v>20000.0</v>
      </c>
      <c r="G109" s="13">
        <f t="shared" si="46"/>
        <v>8000</v>
      </c>
      <c r="H109" s="13">
        <f t="shared" si="47"/>
        <v>12000</v>
      </c>
      <c r="I109" s="13">
        <v>10000.0</v>
      </c>
      <c r="J109" s="13">
        <f t="shared" si="48"/>
        <v>15000</v>
      </c>
      <c r="K109" s="13">
        <f t="shared" si="49"/>
        <v>6000</v>
      </c>
      <c r="L109" s="16" t="s">
        <v>46</v>
      </c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11">
        <f t="shared" si="4"/>
        <v>108</v>
      </c>
      <c r="B110" s="12" t="s">
        <v>268</v>
      </c>
      <c r="C110" s="11">
        <v>12200.0</v>
      </c>
      <c r="D110" s="14" t="s">
        <v>19</v>
      </c>
      <c r="E110" s="15" t="s">
        <v>269</v>
      </c>
      <c r="F110" s="16">
        <v>15000.0</v>
      </c>
      <c r="G110" s="13">
        <f t="shared" si="46"/>
        <v>6000</v>
      </c>
      <c r="H110" s="13">
        <f t="shared" si="47"/>
        <v>9000</v>
      </c>
      <c r="I110" s="13">
        <v>10000.0</v>
      </c>
      <c r="J110" s="13">
        <f t="shared" si="48"/>
        <v>15000</v>
      </c>
      <c r="K110" s="13">
        <f t="shared" si="49"/>
        <v>4500</v>
      </c>
      <c r="L110" s="13" t="s">
        <v>270</v>
      </c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11">
        <f t="shared" si="4"/>
        <v>109</v>
      </c>
      <c r="B111" s="12" t="s">
        <v>271</v>
      </c>
      <c r="C111" s="11">
        <v>12100.0</v>
      </c>
      <c r="D111" s="14" t="s">
        <v>125</v>
      </c>
      <c r="E111" s="15" t="s">
        <v>272</v>
      </c>
      <c r="F111" s="13">
        <v>20000.0</v>
      </c>
      <c r="G111" s="13">
        <f t="shared" si="46"/>
        <v>8000</v>
      </c>
      <c r="H111" s="13">
        <f t="shared" si="47"/>
        <v>12000</v>
      </c>
      <c r="I111" s="13">
        <f t="shared" ref="I111:I113" si="50">G111</f>
        <v>8000</v>
      </c>
      <c r="J111" s="13">
        <f t="shared" si="48"/>
        <v>12000</v>
      </c>
      <c r="K111" s="13">
        <f t="shared" si="49"/>
        <v>6000</v>
      </c>
      <c r="L111" s="13" t="s">
        <v>46</v>
      </c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11">
        <f t="shared" si="4"/>
        <v>110</v>
      </c>
      <c r="B112" s="12" t="s">
        <v>273</v>
      </c>
      <c r="C112" s="18">
        <v>11900.0</v>
      </c>
      <c r="D112" s="14" t="s">
        <v>15</v>
      </c>
      <c r="E112" s="19" t="s">
        <v>274</v>
      </c>
      <c r="F112" s="13">
        <v>20000.0</v>
      </c>
      <c r="G112" s="13">
        <f t="shared" si="46"/>
        <v>8000</v>
      </c>
      <c r="H112" s="13">
        <f t="shared" si="47"/>
        <v>12000</v>
      </c>
      <c r="I112" s="13">
        <f t="shared" si="50"/>
        <v>8000</v>
      </c>
      <c r="J112" s="13">
        <f t="shared" si="48"/>
        <v>12000</v>
      </c>
      <c r="K112" s="13">
        <f t="shared" si="49"/>
        <v>6000</v>
      </c>
      <c r="L112" s="16" t="s">
        <v>36</v>
      </c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11">
        <f t="shared" si="4"/>
        <v>111</v>
      </c>
      <c r="B113" s="12" t="s">
        <v>275</v>
      </c>
      <c r="C113" s="11">
        <v>6461.0</v>
      </c>
      <c r="D113" s="14" t="s">
        <v>15</v>
      </c>
      <c r="E113" s="15" t="s">
        <v>276</v>
      </c>
      <c r="F113" s="13">
        <v>10000.0</v>
      </c>
      <c r="G113" s="13">
        <f t="shared" si="46"/>
        <v>4000</v>
      </c>
      <c r="H113" s="13">
        <f t="shared" si="47"/>
        <v>6000</v>
      </c>
      <c r="I113" s="13">
        <f t="shared" si="50"/>
        <v>4000</v>
      </c>
      <c r="J113" s="13">
        <f t="shared" si="48"/>
        <v>6000</v>
      </c>
      <c r="K113" s="13">
        <f t="shared" si="49"/>
        <v>3000</v>
      </c>
      <c r="L113" s="13" t="s">
        <v>36</v>
      </c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8"/>
      <c r="B114" s="47"/>
      <c r="C114" s="38"/>
      <c r="D114" s="48"/>
      <c r="E114" s="49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47"/>
      <c r="C115" s="38"/>
      <c r="D115" s="48"/>
      <c r="E115" s="49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47"/>
      <c r="C116" s="38"/>
      <c r="D116" s="48"/>
      <c r="E116" s="49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47"/>
      <c r="C117" s="38"/>
      <c r="D117" s="48"/>
      <c r="E117" s="49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47"/>
      <c r="C118" s="38"/>
      <c r="D118" s="48"/>
      <c r="E118" s="49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47"/>
      <c r="C119" s="38"/>
      <c r="D119" s="48"/>
      <c r="E119" s="49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47"/>
      <c r="C120" s="38"/>
      <c r="D120" s="48"/>
      <c r="E120" s="49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47"/>
      <c r="C121" s="38"/>
      <c r="D121" s="48"/>
      <c r="E121" s="49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47"/>
      <c r="C122" s="38"/>
      <c r="D122" s="48"/>
      <c r="E122" s="49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47"/>
      <c r="C123" s="38"/>
      <c r="D123" s="48"/>
      <c r="E123" s="49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47"/>
      <c r="C124" s="38"/>
      <c r="D124" s="48"/>
      <c r="E124" s="49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47"/>
      <c r="C125" s="38"/>
      <c r="D125" s="48"/>
      <c r="E125" s="49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47"/>
      <c r="C126" s="38"/>
      <c r="D126" s="48"/>
      <c r="E126" s="49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47"/>
      <c r="C127" s="38"/>
      <c r="D127" s="48"/>
      <c r="E127" s="49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47"/>
      <c r="C128" s="38"/>
      <c r="D128" s="48"/>
      <c r="E128" s="49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47"/>
      <c r="C129" s="38"/>
      <c r="D129" s="48"/>
      <c r="E129" s="49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47"/>
      <c r="C130" s="38"/>
      <c r="D130" s="48"/>
      <c r="E130" s="49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47"/>
      <c r="C131" s="38"/>
      <c r="D131" s="48"/>
      <c r="E131" s="49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47"/>
      <c r="C132" s="38"/>
      <c r="D132" s="48"/>
      <c r="E132" s="49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47"/>
      <c r="C133" s="38"/>
      <c r="D133" s="48"/>
      <c r="E133" s="49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47"/>
      <c r="C134" s="38"/>
      <c r="D134" s="48"/>
      <c r="E134" s="49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47"/>
      <c r="C135" s="38"/>
      <c r="D135" s="48"/>
      <c r="E135" s="49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47"/>
      <c r="C136" s="38"/>
      <c r="D136" s="48"/>
      <c r="E136" s="49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47"/>
      <c r="C137" s="38"/>
      <c r="D137" s="48"/>
      <c r="E137" s="49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47"/>
      <c r="C138" s="38"/>
      <c r="D138" s="48"/>
      <c r="E138" s="49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47"/>
      <c r="C139" s="38"/>
      <c r="D139" s="48"/>
      <c r="E139" s="49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47"/>
      <c r="C140" s="38"/>
      <c r="D140" s="48"/>
      <c r="E140" s="49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47"/>
      <c r="C141" s="38"/>
      <c r="D141" s="48"/>
      <c r="E141" s="49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47"/>
      <c r="C142" s="38"/>
      <c r="D142" s="48"/>
      <c r="E142" s="49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47"/>
      <c r="C143" s="38"/>
      <c r="D143" s="48"/>
      <c r="E143" s="49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47"/>
      <c r="C144" s="38"/>
      <c r="D144" s="48"/>
      <c r="E144" s="49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47"/>
      <c r="C145" s="38"/>
      <c r="D145" s="48"/>
      <c r="E145" s="49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47"/>
      <c r="C146" s="38"/>
      <c r="D146" s="48"/>
      <c r="E146" s="49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47"/>
      <c r="C147" s="38"/>
      <c r="D147" s="48"/>
      <c r="E147" s="49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47"/>
      <c r="C148" s="38"/>
      <c r="D148" s="48"/>
      <c r="E148" s="49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47"/>
      <c r="C149" s="38"/>
      <c r="D149" s="48"/>
      <c r="E149" s="49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47"/>
      <c r="C150" s="38"/>
      <c r="D150" s="48"/>
      <c r="E150" s="49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47"/>
      <c r="C151" s="38"/>
      <c r="D151" s="48"/>
      <c r="E151" s="49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47"/>
      <c r="C152" s="38"/>
      <c r="D152" s="48"/>
      <c r="E152" s="49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47"/>
      <c r="C153" s="38"/>
      <c r="D153" s="48"/>
      <c r="E153" s="49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47"/>
      <c r="C154" s="38"/>
      <c r="D154" s="48"/>
      <c r="E154" s="49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47"/>
      <c r="C155" s="38"/>
      <c r="D155" s="48"/>
      <c r="E155" s="49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47"/>
      <c r="C156" s="38"/>
      <c r="D156" s="48"/>
      <c r="E156" s="49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47"/>
      <c r="C157" s="38"/>
      <c r="D157" s="48"/>
      <c r="E157" s="49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47"/>
      <c r="C158" s="38"/>
      <c r="D158" s="48"/>
      <c r="E158" s="49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47"/>
      <c r="C159" s="38"/>
      <c r="D159" s="48"/>
      <c r="E159" s="49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47"/>
      <c r="C160" s="38"/>
      <c r="D160" s="48"/>
      <c r="E160" s="49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47"/>
      <c r="C161" s="38"/>
      <c r="D161" s="48"/>
      <c r="E161" s="49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47"/>
      <c r="C162" s="38"/>
      <c r="D162" s="48"/>
      <c r="E162" s="49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47"/>
      <c r="C163" s="38"/>
      <c r="D163" s="48"/>
      <c r="E163" s="49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47"/>
      <c r="C164" s="38"/>
      <c r="D164" s="48"/>
      <c r="E164" s="49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47"/>
      <c r="C165" s="38"/>
      <c r="D165" s="48"/>
      <c r="E165" s="49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47"/>
      <c r="C166" s="38"/>
      <c r="D166" s="48"/>
      <c r="E166" s="49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47"/>
      <c r="C167" s="38"/>
      <c r="D167" s="48"/>
      <c r="E167" s="49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47"/>
      <c r="C168" s="38"/>
      <c r="D168" s="48"/>
      <c r="E168" s="49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47"/>
      <c r="C169" s="38"/>
      <c r="D169" s="48"/>
      <c r="E169" s="49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47"/>
      <c r="C170" s="38"/>
      <c r="D170" s="48"/>
      <c r="E170" s="49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47"/>
      <c r="C171" s="38"/>
      <c r="D171" s="48"/>
      <c r="E171" s="49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47"/>
      <c r="C172" s="38"/>
      <c r="D172" s="48"/>
      <c r="E172" s="49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47"/>
      <c r="C173" s="38"/>
      <c r="D173" s="48"/>
      <c r="E173" s="49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47"/>
      <c r="C174" s="38"/>
      <c r="D174" s="48"/>
      <c r="E174" s="49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47"/>
      <c r="C175" s="38"/>
      <c r="D175" s="48"/>
      <c r="E175" s="49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47"/>
      <c r="C176" s="38"/>
      <c r="D176" s="48"/>
      <c r="E176" s="49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47"/>
      <c r="C177" s="38"/>
      <c r="D177" s="48"/>
      <c r="E177" s="49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47"/>
      <c r="C178" s="38"/>
      <c r="D178" s="48"/>
      <c r="E178" s="49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47"/>
      <c r="C179" s="38"/>
      <c r="D179" s="48"/>
      <c r="E179" s="49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47"/>
      <c r="C180" s="38"/>
      <c r="D180" s="48"/>
      <c r="E180" s="49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47"/>
      <c r="C181" s="38"/>
      <c r="D181" s="48"/>
      <c r="E181" s="49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47"/>
      <c r="C182" s="38"/>
      <c r="D182" s="48"/>
      <c r="E182" s="49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47"/>
      <c r="C183" s="38"/>
      <c r="D183" s="48"/>
      <c r="E183" s="49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47"/>
      <c r="C184" s="38"/>
      <c r="D184" s="48"/>
      <c r="E184" s="49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47"/>
      <c r="C185" s="38"/>
      <c r="D185" s="48"/>
      <c r="E185" s="49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47"/>
      <c r="C186" s="38"/>
      <c r="D186" s="48"/>
      <c r="E186" s="49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47"/>
      <c r="C187" s="38"/>
      <c r="D187" s="48"/>
      <c r="E187" s="49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47"/>
      <c r="C188" s="38"/>
      <c r="D188" s="48"/>
      <c r="E188" s="49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47"/>
      <c r="C189" s="38"/>
      <c r="D189" s="48"/>
      <c r="E189" s="49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47"/>
      <c r="C190" s="38"/>
      <c r="D190" s="48"/>
      <c r="E190" s="49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47"/>
      <c r="C191" s="38"/>
      <c r="D191" s="48"/>
      <c r="E191" s="49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47"/>
      <c r="C192" s="38"/>
      <c r="D192" s="48"/>
      <c r="E192" s="49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47"/>
      <c r="C193" s="38"/>
      <c r="D193" s="48"/>
      <c r="E193" s="49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47"/>
      <c r="C194" s="38"/>
      <c r="D194" s="48"/>
      <c r="E194" s="49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47"/>
      <c r="C195" s="38"/>
      <c r="D195" s="48"/>
      <c r="E195" s="49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47"/>
      <c r="C196" s="38"/>
      <c r="D196" s="48"/>
      <c r="E196" s="49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47"/>
      <c r="C197" s="38"/>
      <c r="D197" s="48"/>
      <c r="E197" s="49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47"/>
      <c r="C198" s="38"/>
      <c r="D198" s="48"/>
      <c r="E198" s="49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47"/>
      <c r="C199" s="38"/>
      <c r="D199" s="48"/>
      <c r="E199" s="49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47"/>
      <c r="C200" s="38"/>
      <c r="D200" s="48"/>
      <c r="E200" s="49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47"/>
      <c r="C201" s="38"/>
      <c r="D201" s="48"/>
      <c r="E201" s="49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47"/>
      <c r="C202" s="38"/>
      <c r="D202" s="48"/>
      <c r="E202" s="49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47"/>
      <c r="C203" s="38"/>
      <c r="D203" s="48"/>
      <c r="E203" s="49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47"/>
      <c r="C204" s="38"/>
      <c r="D204" s="48"/>
      <c r="E204" s="49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47"/>
      <c r="C205" s="38"/>
      <c r="D205" s="48"/>
      <c r="E205" s="49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47"/>
      <c r="C206" s="38"/>
      <c r="D206" s="48"/>
      <c r="E206" s="49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47"/>
      <c r="C207" s="38"/>
      <c r="D207" s="48"/>
      <c r="E207" s="49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47"/>
      <c r="C208" s="38"/>
      <c r="D208" s="48"/>
      <c r="E208" s="49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47"/>
      <c r="C209" s="38"/>
      <c r="D209" s="48"/>
      <c r="E209" s="49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47"/>
      <c r="C210" s="38"/>
      <c r="D210" s="48"/>
      <c r="E210" s="49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47"/>
      <c r="C211" s="38"/>
      <c r="D211" s="48"/>
      <c r="E211" s="49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47"/>
      <c r="C212" s="38"/>
      <c r="D212" s="48"/>
      <c r="E212" s="49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47"/>
      <c r="C213" s="38"/>
      <c r="D213" s="48"/>
      <c r="E213" s="49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47"/>
      <c r="C214" s="38"/>
      <c r="D214" s="48"/>
      <c r="E214" s="49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47"/>
      <c r="C215" s="38"/>
      <c r="D215" s="48"/>
      <c r="E215" s="49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47"/>
      <c r="C216" s="38"/>
      <c r="D216" s="48"/>
      <c r="E216" s="49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47"/>
      <c r="C217" s="38"/>
      <c r="D217" s="48"/>
      <c r="E217" s="49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47"/>
      <c r="C218" s="38"/>
      <c r="D218" s="48"/>
      <c r="E218" s="49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47"/>
      <c r="C219" s="38"/>
      <c r="D219" s="48"/>
      <c r="E219" s="49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47"/>
      <c r="C220" s="38"/>
      <c r="D220" s="48"/>
      <c r="E220" s="49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47"/>
      <c r="C221" s="38"/>
      <c r="D221" s="48"/>
      <c r="E221" s="49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47"/>
      <c r="C222" s="38"/>
      <c r="D222" s="48"/>
      <c r="E222" s="49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47"/>
      <c r="C223" s="38"/>
      <c r="D223" s="48"/>
      <c r="E223" s="49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47"/>
      <c r="C224" s="38"/>
      <c r="D224" s="48"/>
      <c r="E224" s="49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47"/>
      <c r="C225" s="38"/>
      <c r="D225" s="48"/>
      <c r="E225" s="49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47"/>
      <c r="C226" s="38"/>
      <c r="D226" s="48"/>
      <c r="E226" s="49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47"/>
      <c r="C227" s="38"/>
      <c r="D227" s="48"/>
      <c r="E227" s="49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47"/>
      <c r="C228" s="38"/>
      <c r="D228" s="48"/>
      <c r="E228" s="49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47"/>
      <c r="C229" s="38"/>
      <c r="D229" s="48"/>
      <c r="E229" s="49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47"/>
      <c r="C230" s="38"/>
      <c r="D230" s="48"/>
      <c r="E230" s="49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47"/>
      <c r="C231" s="38"/>
      <c r="D231" s="48"/>
      <c r="E231" s="49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47"/>
      <c r="C232" s="38"/>
      <c r="D232" s="48"/>
      <c r="E232" s="49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47"/>
      <c r="C233" s="38"/>
      <c r="D233" s="48"/>
      <c r="E233" s="49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47"/>
      <c r="C234" s="38"/>
      <c r="D234" s="48"/>
      <c r="E234" s="49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47"/>
      <c r="C235" s="38"/>
      <c r="D235" s="48"/>
      <c r="E235" s="49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47"/>
      <c r="C236" s="38"/>
      <c r="D236" s="48"/>
      <c r="E236" s="49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47"/>
      <c r="C237" s="38"/>
      <c r="D237" s="48"/>
      <c r="E237" s="49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47"/>
      <c r="C238" s="38"/>
      <c r="D238" s="48"/>
      <c r="E238" s="49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47"/>
      <c r="C239" s="38"/>
      <c r="D239" s="48"/>
      <c r="E239" s="49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47"/>
      <c r="C240" s="38"/>
      <c r="D240" s="48"/>
      <c r="E240" s="49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47"/>
      <c r="C241" s="38"/>
      <c r="D241" s="48"/>
      <c r="E241" s="49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47"/>
      <c r="C242" s="38"/>
      <c r="D242" s="48"/>
      <c r="E242" s="49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47"/>
      <c r="C243" s="38"/>
      <c r="D243" s="48"/>
      <c r="E243" s="49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47"/>
      <c r="C244" s="38"/>
      <c r="D244" s="48"/>
      <c r="E244" s="49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47"/>
      <c r="C245" s="38"/>
      <c r="D245" s="48"/>
      <c r="E245" s="49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47"/>
      <c r="C246" s="38"/>
      <c r="D246" s="48"/>
      <c r="E246" s="49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47"/>
      <c r="C247" s="38"/>
      <c r="D247" s="48"/>
      <c r="E247" s="49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47"/>
      <c r="C248" s="38"/>
      <c r="D248" s="48"/>
      <c r="E248" s="49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47"/>
      <c r="C249" s="38"/>
      <c r="D249" s="48"/>
      <c r="E249" s="49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47"/>
      <c r="C250" s="38"/>
      <c r="D250" s="48"/>
      <c r="E250" s="49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47"/>
      <c r="C251" s="38"/>
      <c r="D251" s="48"/>
      <c r="E251" s="49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47"/>
      <c r="C252" s="38"/>
      <c r="D252" s="48"/>
      <c r="E252" s="49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47"/>
      <c r="C253" s="38"/>
      <c r="D253" s="48"/>
      <c r="E253" s="49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47"/>
      <c r="C254" s="38"/>
      <c r="D254" s="48"/>
      <c r="E254" s="49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47"/>
      <c r="C255" s="38"/>
      <c r="D255" s="48"/>
      <c r="E255" s="49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47"/>
      <c r="C256" s="38"/>
      <c r="D256" s="48"/>
      <c r="E256" s="49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47"/>
      <c r="C257" s="38"/>
      <c r="D257" s="48"/>
      <c r="E257" s="49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47"/>
      <c r="C258" s="38"/>
      <c r="D258" s="48"/>
      <c r="E258" s="49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47"/>
      <c r="C259" s="38"/>
      <c r="D259" s="48"/>
      <c r="E259" s="49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47"/>
      <c r="C260" s="38"/>
      <c r="D260" s="48"/>
      <c r="E260" s="49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47"/>
      <c r="C261" s="38"/>
      <c r="D261" s="48"/>
      <c r="E261" s="49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47"/>
      <c r="C262" s="38"/>
      <c r="D262" s="48"/>
      <c r="E262" s="49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47"/>
      <c r="C263" s="38"/>
      <c r="D263" s="48"/>
      <c r="E263" s="49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47"/>
      <c r="C264" s="38"/>
      <c r="D264" s="48"/>
      <c r="E264" s="49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47"/>
      <c r="C265" s="38"/>
      <c r="D265" s="48"/>
      <c r="E265" s="49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47"/>
      <c r="C266" s="38"/>
      <c r="D266" s="48"/>
      <c r="E266" s="49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47"/>
      <c r="C267" s="38"/>
      <c r="D267" s="48"/>
      <c r="E267" s="49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47"/>
      <c r="C268" s="38"/>
      <c r="D268" s="48"/>
      <c r="E268" s="49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47"/>
      <c r="C269" s="38"/>
      <c r="D269" s="48"/>
      <c r="E269" s="49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47"/>
      <c r="C270" s="38"/>
      <c r="D270" s="48"/>
      <c r="E270" s="49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47"/>
      <c r="C271" s="38"/>
      <c r="D271" s="48"/>
      <c r="E271" s="49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47"/>
      <c r="C272" s="38"/>
      <c r="D272" s="48"/>
      <c r="E272" s="49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47"/>
      <c r="C273" s="38"/>
      <c r="D273" s="48"/>
      <c r="E273" s="49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47"/>
      <c r="C274" s="38"/>
      <c r="D274" s="48"/>
      <c r="E274" s="49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47"/>
      <c r="C275" s="38"/>
      <c r="D275" s="48"/>
      <c r="E275" s="49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47"/>
      <c r="C276" s="38"/>
      <c r="D276" s="48"/>
      <c r="E276" s="49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47"/>
      <c r="C277" s="38"/>
      <c r="D277" s="48"/>
      <c r="E277" s="49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47"/>
      <c r="C278" s="38"/>
      <c r="D278" s="48"/>
      <c r="E278" s="49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47"/>
      <c r="C279" s="38"/>
      <c r="D279" s="48"/>
      <c r="E279" s="49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47"/>
      <c r="C280" s="38"/>
      <c r="D280" s="48"/>
      <c r="E280" s="49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47"/>
      <c r="C281" s="38"/>
      <c r="D281" s="48"/>
      <c r="E281" s="49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47"/>
      <c r="C282" s="38"/>
      <c r="D282" s="48"/>
      <c r="E282" s="49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47"/>
      <c r="C283" s="38"/>
      <c r="D283" s="48"/>
      <c r="E283" s="49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47"/>
      <c r="C284" s="38"/>
      <c r="D284" s="48"/>
      <c r="E284" s="49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47"/>
      <c r="C285" s="38"/>
      <c r="D285" s="48"/>
      <c r="E285" s="49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47"/>
      <c r="C286" s="38"/>
      <c r="D286" s="48"/>
      <c r="E286" s="49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47"/>
      <c r="C287" s="38"/>
      <c r="D287" s="48"/>
      <c r="E287" s="49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47"/>
      <c r="C288" s="38"/>
      <c r="D288" s="48"/>
      <c r="E288" s="49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47"/>
      <c r="C289" s="38"/>
      <c r="D289" s="48"/>
      <c r="E289" s="49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47"/>
      <c r="C290" s="38"/>
      <c r="D290" s="48"/>
      <c r="E290" s="49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47"/>
      <c r="C291" s="38"/>
      <c r="D291" s="48"/>
      <c r="E291" s="49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47"/>
      <c r="C292" s="38"/>
      <c r="D292" s="48"/>
      <c r="E292" s="49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47"/>
      <c r="C293" s="38"/>
      <c r="D293" s="48"/>
      <c r="E293" s="49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47"/>
      <c r="C294" s="38"/>
      <c r="D294" s="48"/>
      <c r="E294" s="49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47"/>
      <c r="C295" s="38"/>
      <c r="D295" s="48"/>
      <c r="E295" s="49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47"/>
      <c r="C296" s="38"/>
      <c r="D296" s="48"/>
      <c r="E296" s="49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47"/>
      <c r="C297" s="38"/>
      <c r="D297" s="48"/>
      <c r="E297" s="49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47"/>
      <c r="C298" s="38"/>
      <c r="D298" s="48"/>
      <c r="E298" s="49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47"/>
      <c r="C299" s="38"/>
      <c r="D299" s="48"/>
      <c r="E299" s="49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47"/>
      <c r="C300" s="38"/>
      <c r="D300" s="48"/>
      <c r="E300" s="49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47"/>
      <c r="C301" s="38"/>
      <c r="D301" s="48"/>
      <c r="E301" s="49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47"/>
      <c r="C302" s="38"/>
      <c r="D302" s="48"/>
      <c r="E302" s="49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47"/>
      <c r="C303" s="38"/>
      <c r="D303" s="48"/>
      <c r="E303" s="49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47"/>
      <c r="C304" s="38"/>
      <c r="D304" s="48"/>
      <c r="E304" s="49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47"/>
      <c r="C305" s="38"/>
      <c r="D305" s="48"/>
      <c r="E305" s="49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47"/>
      <c r="C306" s="38"/>
      <c r="D306" s="48"/>
      <c r="E306" s="49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47"/>
      <c r="C307" s="38"/>
      <c r="D307" s="48"/>
      <c r="E307" s="49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47"/>
      <c r="C308" s="38"/>
      <c r="D308" s="48"/>
      <c r="E308" s="49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47"/>
      <c r="C309" s="38"/>
      <c r="D309" s="48"/>
      <c r="E309" s="49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47"/>
      <c r="C310" s="38"/>
      <c r="D310" s="48"/>
      <c r="E310" s="49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47"/>
      <c r="C311" s="38"/>
      <c r="D311" s="48"/>
      <c r="E311" s="49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47"/>
      <c r="C312" s="38"/>
      <c r="D312" s="48"/>
      <c r="E312" s="49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47"/>
      <c r="C313" s="38"/>
      <c r="D313" s="48"/>
      <c r="E313" s="49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47"/>
      <c r="C314" s="38"/>
      <c r="D314" s="48"/>
      <c r="E314" s="49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47"/>
      <c r="C315" s="38"/>
      <c r="D315" s="48"/>
      <c r="E315" s="49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47"/>
      <c r="C316" s="38"/>
      <c r="D316" s="48"/>
      <c r="E316" s="49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47"/>
      <c r="C317" s="38"/>
      <c r="D317" s="48"/>
      <c r="E317" s="49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47"/>
      <c r="C318" s="38"/>
      <c r="D318" s="48"/>
      <c r="E318" s="49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47"/>
      <c r="C319" s="38"/>
      <c r="D319" s="48"/>
      <c r="E319" s="49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47"/>
      <c r="C320" s="38"/>
      <c r="D320" s="48"/>
      <c r="E320" s="49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47"/>
      <c r="C321" s="38"/>
      <c r="D321" s="48"/>
      <c r="E321" s="49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47"/>
      <c r="C322" s="38"/>
      <c r="D322" s="48"/>
      <c r="E322" s="49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47"/>
      <c r="C323" s="38"/>
      <c r="D323" s="48"/>
      <c r="E323" s="49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47"/>
      <c r="C324" s="38"/>
      <c r="D324" s="48"/>
      <c r="E324" s="49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47"/>
      <c r="C325" s="38"/>
      <c r="D325" s="48"/>
      <c r="E325" s="49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47"/>
      <c r="C326" s="38"/>
      <c r="D326" s="48"/>
      <c r="E326" s="49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47"/>
      <c r="C327" s="38"/>
      <c r="D327" s="48"/>
      <c r="E327" s="49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47"/>
      <c r="C328" s="38"/>
      <c r="D328" s="48"/>
      <c r="E328" s="49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47"/>
      <c r="C329" s="38"/>
      <c r="D329" s="48"/>
      <c r="E329" s="49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47"/>
      <c r="C330" s="38"/>
      <c r="D330" s="48"/>
      <c r="E330" s="49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47"/>
      <c r="C331" s="38"/>
      <c r="D331" s="48"/>
      <c r="E331" s="49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47"/>
      <c r="C332" s="38"/>
      <c r="D332" s="48"/>
      <c r="E332" s="49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47"/>
      <c r="C333" s="38"/>
      <c r="D333" s="48"/>
      <c r="E333" s="49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47"/>
      <c r="C334" s="38"/>
      <c r="D334" s="48"/>
      <c r="E334" s="49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47"/>
      <c r="C335" s="38"/>
      <c r="D335" s="48"/>
      <c r="E335" s="49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47"/>
      <c r="C336" s="38"/>
      <c r="D336" s="48"/>
      <c r="E336" s="49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47"/>
      <c r="C337" s="38"/>
      <c r="D337" s="48"/>
      <c r="E337" s="49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47"/>
      <c r="C338" s="38"/>
      <c r="D338" s="48"/>
      <c r="E338" s="49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47"/>
      <c r="C339" s="38"/>
      <c r="D339" s="48"/>
      <c r="E339" s="49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47"/>
      <c r="C340" s="38"/>
      <c r="D340" s="48"/>
      <c r="E340" s="49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47"/>
      <c r="C341" s="38"/>
      <c r="D341" s="48"/>
      <c r="E341" s="49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47"/>
      <c r="C342" s="38"/>
      <c r="D342" s="48"/>
      <c r="E342" s="49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47"/>
      <c r="C343" s="38"/>
      <c r="D343" s="48"/>
      <c r="E343" s="49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47"/>
      <c r="C344" s="38"/>
      <c r="D344" s="48"/>
      <c r="E344" s="49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47"/>
      <c r="C345" s="38"/>
      <c r="D345" s="48"/>
      <c r="E345" s="49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47"/>
      <c r="C346" s="38"/>
      <c r="D346" s="48"/>
      <c r="E346" s="49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47"/>
      <c r="C347" s="38"/>
      <c r="D347" s="48"/>
      <c r="E347" s="49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47"/>
      <c r="C348" s="38"/>
      <c r="D348" s="48"/>
      <c r="E348" s="49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47"/>
      <c r="C349" s="38"/>
      <c r="D349" s="48"/>
      <c r="E349" s="49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47"/>
      <c r="C350" s="38"/>
      <c r="D350" s="48"/>
      <c r="E350" s="49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47"/>
      <c r="C351" s="38"/>
      <c r="D351" s="48"/>
      <c r="E351" s="49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47"/>
      <c r="C352" s="38"/>
      <c r="D352" s="48"/>
      <c r="E352" s="49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47"/>
      <c r="C353" s="38"/>
      <c r="D353" s="48"/>
      <c r="E353" s="49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47"/>
      <c r="C354" s="38"/>
      <c r="D354" s="48"/>
      <c r="E354" s="49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47"/>
      <c r="C355" s="38"/>
      <c r="D355" s="48"/>
      <c r="E355" s="49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47"/>
      <c r="C356" s="38"/>
      <c r="D356" s="48"/>
      <c r="E356" s="49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47"/>
      <c r="C357" s="38"/>
      <c r="D357" s="48"/>
      <c r="E357" s="49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47"/>
      <c r="C358" s="38"/>
      <c r="D358" s="48"/>
      <c r="E358" s="49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47"/>
      <c r="C359" s="38"/>
      <c r="D359" s="48"/>
      <c r="E359" s="49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47"/>
      <c r="C360" s="38"/>
      <c r="D360" s="48"/>
      <c r="E360" s="49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47"/>
      <c r="C361" s="38"/>
      <c r="D361" s="48"/>
      <c r="E361" s="49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47"/>
      <c r="C362" s="38"/>
      <c r="D362" s="48"/>
      <c r="E362" s="49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47"/>
      <c r="C363" s="38"/>
      <c r="D363" s="48"/>
      <c r="E363" s="49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47"/>
      <c r="C364" s="38"/>
      <c r="D364" s="48"/>
      <c r="E364" s="49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47"/>
      <c r="C365" s="38"/>
      <c r="D365" s="48"/>
      <c r="E365" s="49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47"/>
      <c r="C366" s="38"/>
      <c r="D366" s="48"/>
      <c r="E366" s="49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47"/>
      <c r="C367" s="38"/>
      <c r="D367" s="48"/>
      <c r="E367" s="49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47"/>
      <c r="C368" s="38"/>
      <c r="D368" s="48"/>
      <c r="E368" s="49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47"/>
      <c r="C369" s="38"/>
      <c r="D369" s="48"/>
      <c r="E369" s="49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47"/>
      <c r="C370" s="38"/>
      <c r="D370" s="48"/>
      <c r="E370" s="49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47"/>
      <c r="C371" s="38"/>
      <c r="D371" s="48"/>
      <c r="E371" s="49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47"/>
      <c r="C372" s="38"/>
      <c r="D372" s="48"/>
      <c r="E372" s="49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47"/>
      <c r="C373" s="38"/>
      <c r="D373" s="48"/>
      <c r="E373" s="49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47"/>
      <c r="C374" s="38"/>
      <c r="D374" s="48"/>
      <c r="E374" s="49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47"/>
      <c r="C375" s="38"/>
      <c r="D375" s="48"/>
      <c r="E375" s="49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47"/>
      <c r="C376" s="38"/>
      <c r="D376" s="48"/>
      <c r="E376" s="49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47"/>
      <c r="C377" s="38"/>
      <c r="D377" s="48"/>
      <c r="E377" s="49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47"/>
      <c r="C378" s="38"/>
      <c r="D378" s="48"/>
      <c r="E378" s="49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47"/>
      <c r="C379" s="38"/>
      <c r="D379" s="48"/>
      <c r="E379" s="49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47"/>
      <c r="C380" s="38"/>
      <c r="D380" s="48"/>
      <c r="E380" s="49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47"/>
      <c r="C381" s="38"/>
      <c r="D381" s="48"/>
      <c r="E381" s="49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47"/>
      <c r="C382" s="38"/>
      <c r="D382" s="48"/>
      <c r="E382" s="49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47"/>
      <c r="C383" s="38"/>
      <c r="D383" s="48"/>
      <c r="E383" s="49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47"/>
      <c r="C384" s="38"/>
      <c r="D384" s="48"/>
      <c r="E384" s="49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47"/>
      <c r="C385" s="38"/>
      <c r="D385" s="48"/>
      <c r="E385" s="49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47"/>
      <c r="C386" s="38"/>
      <c r="D386" s="48"/>
      <c r="E386" s="49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47"/>
      <c r="C387" s="38"/>
      <c r="D387" s="48"/>
      <c r="E387" s="49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47"/>
      <c r="C388" s="38"/>
      <c r="D388" s="48"/>
      <c r="E388" s="49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47"/>
      <c r="C389" s="38"/>
      <c r="D389" s="48"/>
      <c r="E389" s="49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47"/>
      <c r="C390" s="38"/>
      <c r="D390" s="48"/>
      <c r="E390" s="49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47"/>
      <c r="C391" s="38"/>
      <c r="D391" s="48"/>
      <c r="E391" s="49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47"/>
      <c r="C392" s="38"/>
      <c r="D392" s="48"/>
      <c r="E392" s="49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47"/>
      <c r="C393" s="38"/>
      <c r="D393" s="48"/>
      <c r="E393" s="49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47"/>
      <c r="C394" s="38"/>
      <c r="D394" s="48"/>
      <c r="E394" s="49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47"/>
      <c r="C395" s="38"/>
      <c r="D395" s="48"/>
      <c r="E395" s="49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47"/>
      <c r="C396" s="38"/>
      <c r="D396" s="48"/>
      <c r="E396" s="49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47"/>
      <c r="C397" s="38"/>
      <c r="D397" s="48"/>
      <c r="E397" s="49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47"/>
      <c r="C398" s="38"/>
      <c r="D398" s="48"/>
      <c r="E398" s="49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47"/>
      <c r="C399" s="38"/>
      <c r="D399" s="48"/>
      <c r="E399" s="49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47"/>
      <c r="C400" s="38"/>
      <c r="D400" s="48"/>
      <c r="E400" s="49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47"/>
      <c r="C401" s="38"/>
      <c r="D401" s="48"/>
      <c r="E401" s="49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47"/>
      <c r="C402" s="38"/>
      <c r="D402" s="48"/>
      <c r="E402" s="49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47"/>
      <c r="C403" s="38"/>
      <c r="D403" s="48"/>
      <c r="E403" s="49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47"/>
      <c r="C404" s="38"/>
      <c r="D404" s="48"/>
      <c r="E404" s="49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47"/>
      <c r="C405" s="38"/>
      <c r="D405" s="48"/>
      <c r="E405" s="49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47"/>
      <c r="C406" s="38"/>
      <c r="D406" s="48"/>
      <c r="E406" s="49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47"/>
      <c r="C407" s="38"/>
      <c r="D407" s="48"/>
      <c r="E407" s="49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47"/>
      <c r="C408" s="38"/>
      <c r="D408" s="48"/>
      <c r="E408" s="49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47"/>
      <c r="C409" s="38"/>
      <c r="D409" s="48"/>
      <c r="E409" s="49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47"/>
      <c r="C410" s="38"/>
      <c r="D410" s="48"/>
      <c r="E410" s="49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47"/>
      <c r="C411" s="38"/>
      <c r="D411" s="48"/>
      <c r="E411" s="49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47"/>
      <c r="C412" s="38"/>
      <c r="D412" s="48"/>
      <c r="E412" s="49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47"/>
      <c r="C413" s="38"/>
      <c r="D413" s="48"/>
      <c r="E413" s="49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47"/>
      <c r="C414" s="38"/>
      <c r="D414" s="48"/>
      <c r="E414" s="49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47"/>
      <c r="C415" s="38"/>
      <c r="D415" s="48"/>
      <c r="E415" s="49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47"/>
      <c r="C416" s="38"/>
      <c r="D416" s="48"/>
      <c r="E416" s="49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47"/>
      <c r="C417" s="38"/>
      <c r="D417" s="48"/>
      <c r="E417" s="49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47"/>
      <c r="C418" s="38"/>
      <c r="D418" s="48"/>
      <c r="E418" s="49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47"/>
      <c r="C419" s="38"/>
      <c r="D419" s="48"/>
      <c r="E419" s="49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47"/>
      <c r="C420" s="38"/>
      <c r="D420" s="48"/>
      <c r="E420" s="49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47"/>
      <c r="C421" s="38"/>
      <c r="D421" s="48"/>
      <c r="E421" s="49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47"/>
      <c r="C422" s="38"/>
      <c r="D422" s="48"/>
      <c r="E422" s="49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47"/>
      <c r="C423" s="38"/>
      <c r="D423" s="48"/>
      <c r="E423" s="49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47"/>
      <c r="C424" s="38"/>
      <c r="D424" s="48"/>
      <c r="E424" s="49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47"/>
      <c r="C425" s="38"/>
      <c r="D425" s="48"/>
      <c r="E425" s="49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47"/>
      <c r="C426" s="38"/>
      <c r="D426" s="48"/>
      <c r="E426" s="49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47"/>
      <c r="C427" s="38"/>
      <c r="D427" s="48"/>
      <c r="E427" s="49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47"/>
      <c r="C428" s="38"/>
      <c r="D428" s="48"/>
      <c r="E428" s="49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47"/>
      <c r="C429" s="38"/>
      <c r="D429" s="48"/>
      <c r="E429" s="49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47"/>
      <c r="C430" s="38"/>
      <c r="D430" s="48"/>
      <c r="E430" s="49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47"/>
      <c r="C431" s="38"/>
      <c r="D431" s="48"/>
      <c r="E431" s="49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47"/>
      <c r="C432" s="38"/>
      <c r="D432" s="48"/>
      <c r="E432" s="49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47"/>
      <c r="C433" s="38"/>
      <c r="D433" s="48"/>
      <c r="E433" s="49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47"/>
      <c r="C434" s="38"/>
      <c r="D434" s="48"/>
      <c r="E434" s="49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47"/>
      <c r="C435" s="38"/>
      <c r="D435" s="48"/>
      <c r="E435" s="49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47"/>
      <c r="C436" s="38"/>
      <c r="D436" s="48"/>
      <c r="E436" s="49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47"/>
      <c r="C437" s="38"/>
      <c r="D437" s="48"/>
      <c r="E437" s="49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47"/>
      <c r="C438" s="38"/>
      <c r="D438" s="48"/>
      <c r="E438" s="49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47"/>
      <c r="C439" s="38"/>
      <c r="D439" s="48"/>
      <c r="E439" s="49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47"/>
      <c r="C440" s="38"/>
      <c r="D440" s="48"/>
      <c r="E440" s="49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47"/>
      <c r="C441" s="38"/>
      <c r="D441" s="48"/>
      <c r="E441" s="49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47"/>
      <c r="C442" s="38"/>
      <c r="D442" s="48"/>
      <c r="E442" s="49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47"/>
      <c r="C443" s="38"/>
      <c r="D443" s="48"/>
      <c r="E443" s="49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47"/>
      <c r="C444" s="38"/>
      <c r="D444" s="48"/>
      <c r="E444" s="49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47"/>
      <c r="C445" s="38"/>
      <c r="D445" s="48"/>
      <c r="E445" s="49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47"/>
      <c r="C446" s="38"/>
      <c r="D446" s="48"/>
      <c r="E446" s="49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47"/>
      <c r="C447" s="38"/>
      <c r="D447" s="48"/>
      <c r="E447" s="49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47"/>
      <c r="C448" s="38"/>
      <c r="D448" s="48"/>
      <c r="E448" s="49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47"/>
      <c r="C449" s="38"/>
      <c r="D449" s="48"/>
      <c r="E449" s="49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47"/>
      <c r="C450" s="38"/>
      <c r="D450" s="48"/>
      <c r="E450" s="49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47"/>
      <c r="C451" s="38"/>
      <c r="D451" s="48"/>
      <c r="E451" s="49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47"/>
      <c r="C452" s="38"/>
      <c r="D452" s="48"/>
      <c r="E452" s="49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47"/>
      <c r="C453" s="38"/>
      <c r="D453" s="48"/>
      <c r="E453" s="49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47"/>
      <c r="C454" s="38"/>
      <c r="D454" s="48"/>
      <c r="E454" s="49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47"/>
      <c r="C455" s="38"/>
      <c r="D455" s="48"/>
      <c r="E455" s="49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47"/>
      <c r="C456" s="38"/>
      <c r="D456" s="48"/>
      <c r="E456" s="49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47"/>
      <c r="C457" s="38"/>
      <c r="D457" s="48"/>
      <c r="E457" s="49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47"/>
      <c r="C458" s="38"/>
      <c r="D458" s="48"/>
      <c r="E458" s="49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47"/>
      <c r="C459" s="38"/>
      <c r="D459" s="48"/>
      <c r="E459" s="49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47"/>
      <c r="C460" s="38"/>
      <c r="D460" s="48"/>
      <c r="E460" s="49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47"/>
      <c r="C461" s="38"/>
      <c r="D461" s="48"/>
      <c r="E461" s="49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47"/>
      <c r="C462" s="38"/>
      <c r="D462" s="48"/>
      <c r="E462" s="49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47"/>
      <c r="C463" s="38"/>
      <c r="D463" s="48"/>
      <c r="E463" s="49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47"/>
      <c r="C464" s="38"/>
      <c r="D464" s="48"/>
      <c r="E464" s="49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47"/>
      <c r="C465" s="38"/>
      <c r="D465" s="48"/>
      <c r="E465" s="49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47"/>
      <c r="C466" s="38"/>
      <c r="D466" s="48"/>
      <c r="E466" s="49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47"/>
      <c r="C467" s="38"/>
      <c r="D467" s="48"/>
      <c r="E467" s="49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47"/>
      <c r="C468" s="38"/>
      <c r="D468" s="48"/>
      <c r="E468" s="49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47"/>
      <c r="C469" s="38"/>
      <c r="D469" s="48"/>
      <c r="E469" s="49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47"/>
      <c r="C470" s="38"/>
      <c r="D470" s="48"/>
      <c r="E470" s="49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47"/>
      <c r="C471" s="38"/>
      <c r="D471" s="48"/>
      <c r="E471" s="49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47"/>
      <c r="C472" s="38"/>
      <c r="D472" s="48"/>
      <c r="E472" s="49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47"/>
      <c r="C473" s="38"/>
      <c r="D473" s="48"/>
      <c r="E473" s="49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47"/>
      <c r="C474" s="38"/>
      <c r="D474" s="48"/>
      <c r="E474" s="49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47"/>
      <c r="C475" s="38"/>
      <c r="D475" s="48"/>
      <c r="E475" s="49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47"/>
      <c r="C476" s="38"/>
      <c r="D476" s="48"/>
      <c r="E476" s="49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47"/>
      <c r="C477" s="38"/>
      <c r="D477" s="48"/>
      <c r="E477" s="49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47"/>
      <c r="C478" s="38"/>
      <c r="D478" s="48"/>
      <c r="E478" s="49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47"/>
      <c r="C479" s="38"/>
      <c r="D479" s="48"/>
      <c r="E479" s="49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47"/>
      <c r="C480" s="38"/>
      <c r="D480" s="48"/>
      <c r="E480" s="49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47"/>
      <c r="C481" s="38"/>
      <c r="D481" s="48"/>
      <c r="E481" s="49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47"/>
      <c r="C482" s="38"/>
      <c r="D482" s="48"/>
      <c r="E482" s="49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47"/>
      <c r="C483" s="38"/>
      <c r="D483" s="48"/>
      <c r="E483" s="49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47"/>
      <c r="C484" s="38"/>
      <c r="D484" s="48"/>
      <c r="E484" s="49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47"/>
      <c r="C485" s="38"/>
      <c r="D485" s="48"/>
      <c r="E485" s="49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47"/>
      <c r="C486" s="38"/>
      <c r="D486" s="48"/>
      <c r="E486" s="49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47"/>
      <c r="C487" s="38"/>
      <c r="D487" s="48"/>
      <c r="E487" s="49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47"/>
      <c r="C488" s="38"/>
      <c r="D488" s="48"/>
      <c r="E488" s="49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47"/>
      <c r="C489" s="38"/>
      <c r="D489" s="48"/>
      <c r="E489" s="49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47"/>
      <c r="C490" s="38"/>
      <c r="D490" s="48"/>
      <c r="E490" s="49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47"/>
      <c r="C491" s="38"/>
      <c r="D491" s="48"/>
      <c r="E491" s="49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47"/>
      <c r="C492" s="38"/>
      <c r="D492" s="48"/>
      <c r="E492" s="49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47"/>
      <c r="C493" s="38"/>
      <c r="D493" s="48"/>
      <c r="E493" s="49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47"/>
      <c r="C494" s="38"/>
      <c r="D494" s="48"/>
      <c r="E494" s="49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47"/>
      <c r="C495" s="38"/>
      <c r="D495" s="48"/>
      <c r="E495" s="49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47"/>
      <c r="C496" s="38"/>
      <c r="D496" s="48"/>
      <c r="E496" s="49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47"/>
      <c r="C497" s="38"/>
      <c r="D497" s="48"/>
      <c r="E497" s="49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47"/>
      <c r="C498" s="38"/>
      <c r="D498" s="48"/>
      <c r="E498" s="49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47"/>
      <c r="C499" s="38"/>
      <c r="D499" s="48"/>
      <c r="E499" s="49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47"/>
      <c r="C500" s="38"/>
      <c r="D500" s="48"/>
      <c r="E500" s="49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47"/>
      <c r="C501" s="38"/>
      <c r="D501" s="48"/>
      <c r="E501" s="49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47"/>
      <c r="C502" s="38"/>
      <c r="D502" s="48"/>
      <c r="E502" s="49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47"/>
      <c r="C503" s="38"/>
      <c r="D503" s="48"/>
      <c r="E503" s="49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47"/>
      <c r="C504" s="38"/>
      <c r="D504" s="48"/>
      <c r="E504" s="49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47"/>
      <c r="C505" s="38"/>
      <c r="D505" s="48"/>
      <c r="E505" s="49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47"/>
      <c r="C506" s="38"/>
      <c r="D506" s="48"/>
      <c r="E506" s="49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47"/>
      <c r="C507" s="38"/>
      <c r="D507" s="48"/>
      <c r="E507" s="49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47"/>
      <c r="C508" s="38"/>
      <c r="D508" s="48"/>
      <c r="E508" s="49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47"/>
      <c r="C509" s="38"/>
      <c r="D509" s="48"/>
      <c r="E509" s="49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47"/>
      <c r="C510" s="38"/>
      <c r="D510" s="48"/>
      <c r="E510" s="49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47"/>
      <c r="C511" s="38"/>
      <c r="D511" s="48"/>
      <c r="E511" s="49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47"/>
      <c r="C512" s="38"/>
      <c r="D512" s="48"/>
      <c r="E512" s="49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47"/>
      <c r="C513" s="38"/>
      <c r="D513" s="48"/>
      <c r="E513" s="49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47"/>
      <c r="C514" s="38"/>
      <c r="D514" s="48"/>
      <c r="E514" s="49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47"/>
      <c r="C515" s="38"/>
      <c r="D515" s="48"/>
      <c r="E515" s="49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47"/>
      <c r="C516" s="38"/>
      <c r="D516" s="48"/>
      <c r="E516" s="49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47"/>
      <c r="C517" s="38"/>
      <c r="D517" s="48"/>
      <c r="E517" s="49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47"/>
      <c r="C518" s="38"/>
      <c r="D518" s="48"/>
      <c r="E518" s="49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47"/>
      <c r="C519" s="38"/>
      <c r="D519" s="48"/>
      <c r="E519" s="49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47"/>
      <c r="C520" s="38"/>
      <c r="D520" s="48"/>
      <c r="E520" s="49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47"/>
      <c r="C521" s="38"/>
      <c r="D521" s="48"/>
      <c r="E521" s="49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47"/>
      <c r="C522" s="38"/>
      <c r="D522" s="48"/>
      <c r="E522" s="49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47"/>
      <c r="C523" s="38"/>
      <c r="D523" s="48"/>
      <c r="E523" s="49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47"/>
      <c r="C524" s="38"/>
      <c r="D524" s="48"/>
      <c r="E524" s="49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47"/>
      <c r="C525" s="38"/>
      <c r="D525" s="48"/>
      <c r="E525" s="49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47"/>
      <c r="C526" s="38"/>
      <c r="D526" s="48"/>
      <c r="E526" s="49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47"/>
      <c r="C527" s="38"/>
      <c r="D527" s="48"/>
      <c r="E527" s="49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47"/>
      <c r="C528" s="38"/>
      <c r="D528" s="48"/>
      <c r="E528" s="49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47"/>
      <c r="C529" s="38"/>
      <c r="D529" s="48"/>
      <c r="E529" s="49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47"/>
      <c r="C530" s="38"/>
      <c r="D530" s="48"/>
      <c r="E530" s="49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47"/>
      <c r="C531" s="38"/>
      <c r="D531" s="48"/>
      <c r="E531" s="49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47"/>
      <c r="C532" s="38"/>
      <c r="D532" s="48"/>
      <c r="E532" s="49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47"/>
      <c r="C533" s="38"/>
      <c r="D533" s="48"/>
      <c r="E533" s="49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47"/>
      <c r="C534" s="38"/>
      <c r="D534" s="48"/>
      <c r="E534" s="49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47"/>
      <c r="C535" s="38"/>
      <c r="D535" s="48"/>
      <c r="E535" s="49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47"/>
      <c r="C536" s="38"/>
      <c r="D536" s="48"/>
      <c r="E536" s="49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47"/>
      <c r="C537" s="38"/>
      <c r="D537" s="48"/>
      <c r="E537" s="49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47"/>
      <c r="C538" s="38"/>
      <c r="D538" s="48"/>
      <c r="E538" s="49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47"/>
      <c r="C539" s="38"/>
      <c r="D539" s="48"/>
      <c r="E539" s="49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47"/>
      <c r="C540" s="38"/>
      <c r="D540" s="48"/>
      <c r="E540" s="49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47"/>
      <c r="C541" s="38"/>
      <c r="D541" s="48"/>
      <c r="E541" s="49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47"/>
      <c r="C542" s="38"/>
      <c r="D542" s="48"/>
      <c r="E542" s="49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47"/>
      <c r="C543" s="38"/>
      <c r="D543" s="48"/>
      <c r="E543" s="49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47"/>
      <c r="C544" s="38"/>
      <c r="D544" s="48"/>
      <c r="E544" s="49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47"/>
      <c r="C545" s="38"/>
      <c r="D545" s="48"/>
      <c r="E545" s="49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47"/>
      <c r="C546" s="38"/>
      <c r="D546" s="48"/>
      <c r="E546" s="49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47"/>
      <c r="C547" s="38"/>
      <c r="D547" s="48"/>
      <c r="E547" s="49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47"/>
      <c r="C548" s="38"/>
      <c r="D548" s="48"/>
      <c r="E548" s="49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47"/>
      <c r="C549" s="38"/>
      <c r="D549" s="48"/>
      <c r="E549" s="49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47"/>
      <c r="C550" s="38"/>
      <c r="D550" s="48"/>
      <c r="E550" s="49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47"/>
      <c r="C551" s="38"/>
      <c r="D551" s="48"/>
      <c r="E551" s="49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47"/>
      <c r="C552" s="38"/>
      <c r="D552" s="48"/>
      <c r="E552" s="49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47"/>
      <c r="C553" s="38"/>
      <c r="D553" s="48"/>
      <c r="E553" s="49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47"/>
      <c r="C554" s="38"/>
      <c r="D554" s="48"/>
      <c r="E554" s="49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47"/>
      <c r="C555" s="38"/>
      <c r="D555" s="48"/>
      <c r="E555" s="49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47"/>
      <c r="C556" s="38"/>
      <c r="D556" s="48"/>
      <c r="E556" s="49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47"/>
      <c r="C557" s="38"/>
      <c r="D557" s="48"/>
      <c r="E557" s="49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47"/>
      <c r="C558" s="38"/>
      <c r="D558" s="48"/>
      <c r="E558" s="49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47"/>
      <c r="C559" s="38"/>
      <c r="D559" s="48"/>
      <c r="E559" s="49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47"/>
      <c r="C560" s="38"/>
      <c r="D560" s="48"/>
      <c r="E560" s="49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47"/>
      <c r="C561" s="38"/>
      <c r="D561" s="48"/>
      <c r="E561" s="49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47"/>
      <c r="C562" s="38"/>
      <c r="D562" s="48"/>
      <c r="E562" s="49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47"/>
      <c r="C563" s="38"/>
      <c r="D563" s="48"/>
      <c r="E563" s="49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47"/>
      <c r="C564" s="38"/>
      <c r="D564" s="48"/>
      <c r="E564" s="49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47"/>
      <c r="C565" s="38"/>
      <c r="D565" s="48"/>
      <c r="E565" s="49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47"/>
      <c r="C566" s="38"/>
      <c r="D566" s="48"/>
      <c r="E566" s="49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47"/>
      <c r="C567" s="38"/>
      <c r="D567" s="48"/>
      <c r="E567" s="49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47"/>
      <c r="C568" s="38"/>
      <c r="D568" s="48"/>
      <c r="E568" s="49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47"/>
      <c r="C569" s="38"/>
      <c r="D569" s="48"/>
      <c r="E569" s="49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47"/>
      <c r="C570" s="38"/>
      <c r="D570" s="48"/>
      <c r="E570" s="49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47"/>
      <c r="C571" s="38"/>
      <c r="D571" s="48"/>
      <c r="E571" s="49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47"/>
      <c r="C572" s="38"/>
      <c r="D572" s="48"/>
      <c r="E572" s="49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47"/>
      <c r="C573" s="38"/>
      <c r="D573" s="48"/>
      <c r="E573" s="49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47"/>
      <c r="C574" s="38"/>
      <c r="D574" s="48"/>
      <c r="E574" s="49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47"/>
      <c r="C575" s="38"/>
      <c r="D575" s="48"/>
      <c r="E575" s="49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47"/>
      <c r="C576" s="38"/>
      <c r="D576" s="48"/>
      <c r="E576" s="49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47"/>
      <c r="C577" s="38"/>
      <c r="D577" s="48"/>
      <c r="E577" s="49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47"/>
      <c r="C578" s="38"/>
      <c r="D578" s="48"/>
      <c r="E578" s="49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47"/>
      <c r="C579" s="38"/>
      <c r="D579" s="48"/>
      <c r="E579" s="49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47"/>
      <c r="C580" s="38"/>
      <c r="D580" s="48"/>
      <c r="E580" s="49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47"/>
      <c r="C581" s="38"/>
      <c r="D581" s="48"/>
      <c r="E581" s="49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47"/>
      <c r="C582" s="38"/>
      <c r="D582" s="48"/>
      <c r="E582" s="49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47"/>
      <c r="C583" s="38"/>
      <c r="D583" s="48"/>
      <c r="E583" s="49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47"/>
      <c r="C584" s="38"/>
      <c r="D584" s="48"/>
      <c r="E584" s="49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47"/>
      <c r="C585" s="38"/>
      <c r="D585" s="48"/>
      <c r="E585" s="49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47"/>
      <c r="C586" s="38"/>
      <c r="D586" s="48"/>
      <c r="E586" s="49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47"/>
      <c r="C587" s="38"/>
      <c r="D587" s="48"/>
      <c r="E587" s="49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47"/>
      <c r="C588" s="38"/>
      <c r="D588" s="48"/>
      <c r="E588" s="49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47"/>
      <c r="C589" s="38"/>
      <c r="D589" s="48"/>
      <c r="E589" s="49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47"/>
      <c r="C590" s="38"/>
      <c r="D590" s="48"/>
      <c r="E590" s="49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47"/>
      <c r="C591" s="38"/>
      <c r="D591" s="48"/>
      <c r="E591" s="49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47"/>
      <c r="C592" s="38"/>
      <c r="D592" s="48"/>
      <c r="E592" s="49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47"/>
      <c r="C593" s="38"/>
      <c r="D593" s="48"/>
      <c r="E593" s="49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47"/>
      <c r="C594" s="38"/>
      <c r="D594" s="48"/>
      <c r="E594" s="49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47"/>
      <c r="C595" s="38"/>
      <c r="D595" s="48"/>
      <c r="E595" s="49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47"/>
      <c r="C596" s="38"/>
      <c r="D596" s="48"/>
      <c r="E596" s="49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47"/>
      <c r="C597" s="38"/>
      <c r="D597" s="48"/>
      <c r="E597" s="49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47"/>
      <c r="C598" s="38"/>
      <c r="D598" s="48"/>
      <c r="E598" s="49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47"/>
      <c r="C599" s="38"/>
      <c r="D599" s="48"/>
      <c r="E599" s="49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47"/>
      <c r="C600" s="38"/>
      <c r="D600" s="48"/>
      <c r="E600" s="49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47"/>
      <c r="C601" s="38"/>
      <c r="D601" s="48"/>
      <c r="E601" s="49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47"/>
      <c r="C602" s="38"/>
      <c r="D602" s="48"/>
      <c r="E602" s="49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47"/>
      <c r="C603" s="38"/>
      <c r="D603" s="48"/>
      <c r="E603" s="49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47"/>
      <c r="C604" s="38"/>
      <c r="D604" s="48"/>
      <c r="E604" s="49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47"/>
      <c r="C605" s="38"/>
      <c r="D605" s="48"/>
      <c r="E605" s="49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47"/>
      <c r="C606" s="38"/>
      <c r="D606" s="48"/>
      <c r="E606" s="49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47"/>
      <c r="C607" s="38"/>
      <c r="D607" s="48"/>
      <c r="E607" s="49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47"/>
      <c r="C608" s="38"/>
      <c r="D608" s="48"/>
      <c r="E608" s="49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47"/>
      <c r="C609" s="38"/>
      <c r="D609" s="48"/>
      <c r="E609" s="49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47"/>
      <c r="C610" s="38"/>
      <c r="D610" s="48"/>
      <c r="E610" s="49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47"/>
      <c r="C611" s="38"/>
      <c r="D611" s="48"/>
      <c r="E611" s="49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47"/>
      <c r="C612" s="38"/>
      <c r="D612" s="48"/>
      <c r="E612" s="49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47"/>
      <c r="C613" s="38"/>
      <c r="D613" s="48"/>
      <c r="E613" s="49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47"/>
      <c r="C614" s="38"/>
      <c r="D614" s="48"/>
      <c r="E614" s="49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47"/>
      <c r="C615" s="38"/>
      <c r="D615" s="48"/>
      <c r="E615" s="49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47"/>
      <c r="C616" s="38"/>
      <c r="D616" s="48"/>
      <c r="E616" s="49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47"/>
      <c r="C617" s="38"/>
      <c r="D617" s="48"/>
      <c r="E617" s="49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47"/>
      <c r="C618" s="38"/>
      <c r="D618" s="48"/>
      <c r="E618" s="49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47"/>
      <c r="C619" s="38"/>
      <c r="D619" s="48"/>
      <c r="E619" s="49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47"/>
      <c r="C620" s="38"/>
      <c r="D620" s="48"/>
      <c r="E620" s="49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47"/>
      <c r="C621" s="38"/>
      <c r="D621" s="48"/>
      <c r="E621" s="49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47"/>
      <c r="C622" s="38"/>
      <c r="D622" s="48"/>
      <c r="E622" s="49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47"/>
      <c r="C623" s="38"/>
      <c r="D623" s="48"/>
      <c r="E623" s="49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47"/>
      <c r="C624" s="38"/>
      <c r="D624" s="48"/>
      <c r="E624" s="49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47"/>
      <c r="C625" s="38"/>
      <c r="D625" s="48"/>
      <c r="E625" s="49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47"/>
      <c r="C626" s="38"/>
      <c r="D626" s="48"/>
      <c r="E626" s="49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47"/>
      <c r="C627" s="38"/>
      <c r="D627" s="48"/>
      <c r="E627" s="49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47"/>
      <c r="C628" s="38"/>
      <c r="D628" s="48"/>
      <c r="E628" s="49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47"/>
      <c r="C629" s="38"/>
      <c r="D629" s="48"/>
      <c r="E629" s="49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47"/>
      <c r="C630" s="38"/>
      <c r="D630" s="48"/>
      <c r="E630" s="49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47"/>
      <c r="C631" s="38"/>
      <c r="D631" s="48"/>
      <c r="E631" s="49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47"/>
      <c r="C632" s="38"/>
      <c r="D632" s="48"/>
      <c r="E632" s="49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47"/>
      <c r="C633" s="38"/>
      <c r="D633" s="48"/>
      <c r="E633" s="49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47"/>
      <c r="C634" s="38"/>
      <c r="D634" s="48"/>
      <c r="E634" s="49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47"/>
      <c r="C635" s="38"/>
      <c r="D635" s="48"/>
      <c r="E635" s="49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47"/>
      <c r="C636" s="38"/>
      <c r="D636" s="48"/>
      <c r="E636" s="49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47"/>
      <c r="C637" s="38"/>
      <c r="D637" s="48"/>
      <c r="E637" s="49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47"/>
      <c r="C638" s="38"/>
      <c r="D638" s="48"/>
      <c r="E638" s="49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47"/>
      <c r="C639" s="38"/>
      <c r="D639" s="48"/>
      <c r="E639" s="49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47"/>
      <c r="C640" s="38"/>
      <c r="D640" s="48"/>
      <c r="E640" s="49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47"/>
      <c r="C641" s="38"/>
      <c r="D641" s="48"/>
      <c r="E641" s="49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47"/>
      <c r="C642" s="38"/>
      <c r="D642" s="48"/>
      <c r="E642" s="49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47"/>
      <c r="C643" s="38"/>
      <c r="D643" s="48"/>
      <c r="E643" s="49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47"/>
      <c r="C644" s="38"/>
      <c r="D644" s="48"/>
      <c r="E644" s="49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47"/>
      <c r="C645" s="38"/>
      <c r="D645" s="48"/>
      <c r="E645" s="49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47"/>
      <c r="C646" s="38"/>
      <c r="D646" s="48"/>
      <c r="E646" s="49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47"/>
      <c r="C647" s="38"/>
      <c r="D647" s="48"/>
      <c r="E647" s="49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47"/>
      <c r="C648" s="38"/>
      <c r="D648" s="48"/>
      <c r="E648" s="49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47"/>
      <c r="C649" s="38"/>
      <c r="D649" s="48"/>
      <c r="E649" s="49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47"/>
      <c r="C650" s="38"/>
      <c r="D650" s="48"/>
      <c r="E650" s="49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47"/>
      <c r="C651" s="38"/>
      <c r="D651" s="48"/>
      <c r="E651" s="49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47"/>
      <c r="C652" s="38"/>
      <c r="D652" s="48"/>
      <c r="E652" s="49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47"/>
      <c r="C653" s="38"/>
      <c r="D653" s="48"/>
      <c r="E653" s="49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47"/>
      <c r="C654" s="38"/>
      <c r="D654" s="48"/>
      <c r="E654" s="49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47"/>
      <c r="C655" s="38"/>
      <c r="D655" s="48"/>
      <c r="E655" s="49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47"/>
      <c r="C656" s="38"/>
      <c r="D656" s="48"/>
      <c r="E656" s="49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47"/>
      <c r="C657" s="38"/>
      <c r="D657" s="48"/>
      <c r="E657" s="49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47"/>
      <c r="C658" s="38"/>
      <c r="D658" s="48"/>
      <c r="E658" s="49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47"/>
      <c r="C659" s="38"/>
      <c r="D659" s="48"/>
      <c r="E659" s="49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47"/>
      <c r="C660" s="38"/>
      <c r="D660" s="48"/>
      <c r="E660" s="49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47"/>
      <c r="C661" s="38"/>
      <c r="D661" s="48"/>
      <c r="E661" s="49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47"/>
      <c r="C662" s="38"/>
      <c r="D662" s="48"/>
      <c r="E662" s="49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47"/>
      <c r="C663" s="38"/>
      <c r="D663" s="48"/>
      <c r="E663" s="49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47"/>
      <c r="C664" s="38"/>
      <c r="D664" s="48"/>
      <c r="E664" s="49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47"/>
      <c r="C665" s="38"/>
      <c r="D665" s="48"/>
      <c r="E665" s="49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47"/>
      <c r="C666" s="38"/>
      <c r="D666" s="48"/>
      <c r="E666" s="49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47"/>
      <c r="C667" s="38"/>
      <c r="D667" s="48"/>
      <c r="E667" s="49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47"/>
      <c r="C668" s="38"/>
      <c r="D668" s="48"/>
      <c r="E668" s="49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47"/>
      <c r="C669" s="38"/>
      <c r="D669" s="48"/>
      <c r="E669" s="49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47"/>
      <c r="C670" s="38"/>
      <c r="D670" s="48"/>
      <c r="E670" s="49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47"/>
      <c r="C671" s="38"/>
      <c r="D671" s="48"/>
      <c r="E671" s="49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47"/>
      <c r="C672" s="38"/>
      <c r="D672" s="48"/>
      <c r="E672" s="49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47"/>
      <c r="C673" s="38"/>
      <c r="D673" s="48"/>
      <c r="E673" s="49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47"/>
      <c r="C674" s="38"/>
      <c r="D674" s="48"/>
      <c r="E674" s="49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47"/>
      <c r="C675" s="38"/>
      <c r="D675" s="48"/>
      <c r="E675" s="49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47"/>
      <c r="C676" s="38"/>
      <c r="D676" s="48"/>
      <c r="E676" s="49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47"/>
      <c r="C677" s="38"/>
      <c r="D677" s="48"/>
      <c r="E677" s="49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47"/>
      <c r="C678" s="38"/>
      <c r="D678" s="48"/>
      <c r="E678" s="49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47"/>
      <c r="C679" s="38"/>
      <c r="D679" s="48"/>
      <c r="E679" s="49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47"/>
      <c r="C680" s="38"/>
      <c r="D680" s="48"/>
      <c r="E680" s="49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47"/>
      <c r="C681" s="38"/>
      <c r="D681" s="48"/>
      <c r="E681" s="49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47"/>
      <c r="C682" s="38"/>
      <c r="D682" s="48"/>
      <c r="E682" s="49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47"/>
      <c r="C683" s="38"/>
      <c r="D683" s="48"/>
      <c r="E683" s="49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47"/>
      <c r="C684" s="38"/>
      <c r="D684" s="48"/>
      <c r="E684" s="49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47"/>
      <c r="C685" s="38"/>
      <c r="D685" s="48"/>
      <c r="E685" s="49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47"/>
      <c r="C686" s="38"/>
      <c r="D686" s="48"/>
      <c r="E686" s="49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47"/>
      <c r="C687" s="38"/>
      <c r="D687" s="48"/>
      <c r="E687" s="49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47"/>
      <c r="C688" s="38"/>
      <c r="D688" s="48"/>
      <c r="E688" s="49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47"/>
      <c r="C689" s="38"/>
      <c r="D689" s="48"/>
      <c r="E689" s="49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47"/>
      <c r="C690" s="38"/>
      <c r="D690" s="48"/>
      <c r="E690" s="49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47"/>
      <c r="C691" s="38"/>
      <c r="D691" s="48"/>
      <c r="E691" s="49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47"/>
      <c r="C692" s="38"/>
      <c r="D692" s="48"/>
      <c r="E692" s="49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47"/>
      <c r="C693" s="38"/>
      <c r="D693" s="48"/>
      <c r="E693" s="49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47"/>
      <c r="C694" s="38"/>
      <c r="D694" s="48"/>
      <c r="E694" s="49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47"/>
      <c r="C695" s="38"/>
      <c r="D695" s="48"/>
      <c r="E695" s="49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47"/>
      <c r="C696" s="38"/>
      <c r="D696" s="48"/>
      <c r="E696" s="49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47"/>
      <c r="C697" s="38"/>
      <c r="D697" s="48"/>
      <c r="E697" s="49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47"/>
      <c r="C698" s="38"/>
      <c r="D698" s="48"/>
      <c r="E698" s="49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47"/>
      <c r="C699" s="38"/>
      <c r="D699" s="48"/>
      <c r="E699" s="49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47"/>
      <c r="C700" s="38"/>
      <c r="D700" s="48"/>
      <c r="E700" s="49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47"/>
      <c r="C701" s="38"/>
      <c r="D701" s="48"/>
      <c r="E701" s="49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47"/>
      <c r="C702" s="38"/>
      <c r="D702" s="48"/>
      <c r="E702" s="49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47"/>
      <c r="C703" s="38"/>
      <c r="D703" s="48"/>
      <c r="E703" s="49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47"/>
      <c r="C704" s="38"/>
      <c r="D704" s="48"/>
      <c r="E704" s="49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47"/>
      <c r="C705" s="38"/>
      <c r="D705" s="48"/>
      <c r="E705" s="49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47"/>
      <c r="C706" s="38"/>
      <c r="D706" s="48"/>
      <c r="E706" s="49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47"/>
      <c r="C707" s="38"/>
      <c r="D707" s="48"/>
      <c r="E707" s="49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47"/>
      <c r="C708" s="38"/>
      <c r="D708" s="48"/>
      <c r="E708" s="49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47"/>
      <c r="C709" s="38"/>
      <c r="D709" s="48"/>
      <c r="E709" s="49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47"/>
      <c r="C710" s="38"/>
      <c r="D710" s="48"/>
      <c r="E710" s="49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47"/>
      <c r="C711" s="38"/>
      <c r="D711" s="48"/>
      <c r="E711" s="49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47"/>
      <c r="C712" s="38"/>
      <c r="D712" s="48"/>
      <c r="E712" s="49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47"/>
      <c r="C713" s="38"/>
      <c r="D713" s="48"/>
      <c r="E713" s="49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47"/>
      <c r="C714" s="38"/>
      <c r="D714" s="48"/>
      <c r="E714" s="49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47"/>
      <c r="C715" s="38"/>
      <c r="D715" s="48"/>
      <c r="E715" s="49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47"/>
      <c r="C716" s="38"/>
      <c r="D716" s="48"/>
      <c r="E716" s="49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47"/>
      <c r="C717" s="38"/>
      <c r="D717" s="48"/>
      <c r="E717" s="49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47"/>
      <c r="C718" s="38"/>
      <c r="D718" s="48"/>
      <c r="E718" s="49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47"/>
      <c r="C719" s="38"/>
      <c r="D719" s="48"/>
      <c r="E719" s="49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47"/>
      <c r="C720" s="38"/>
      <c r="D720" s="48"/>
      <c r="E720" s="49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47"/>
      <c r="C721" s="38"/>
      <c r="D721" s="48"/>
      <c r="E721" s="49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47"/>
      <c r="C722" s="38"/>
      <c r="D722" s="48"/>
      <c r="E722" s="49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47"/>
      <c r="C723" s="38"/>
      <c r="D723" s="48"/>
      <c r="E723" s="49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47"/>
      <c r="C724" s="38"/>
      <c r="D724" s="48"/>
      <c r="E724" s="49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47"/>
      <c r="C725" s="38"/>
      <c r="D725" s="48"/>
      <c r="E725" s="49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47"/>
      <c r="C726" s="38"/>
      <c r="D726" s="48"/>
      <c r="E726" s="49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47"/>
      <c r="C727" s="38"/>
      <c r="D727" s="48"/>
      <c r="E727" s="49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47"/>
      <c r="C728" s="38"/>
      <c r="D728" s="48"/>
      <c r="E728" s="49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47"/>
      <c r="C729" s="38"/>
      <c r="D729" s="48"/>
      <c r="E729" s="49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47"/>
      <c r="C730" s="38"/>
      <c r="D730" s="48"/>
      <c r="E730" s="49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47"/>
      <c r="C731" s="38"/>
      <c r="D731" s="48"/>
      <c r="E731" s="49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47"/>
      <c r="C732" s="38"/>
      <c r="D732" s="48"/>
      <c r="E732" s="49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47"/>
      <c r="C733" s="38"/>
      <c r="D733" s="48"/>
      <c r="E733" s="49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47"/>
      <c r="C734" s="38"/>
      <c r="D734" s="48"/>
      <c r="E734" s="49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47"/>
      <c r="C735" s="38"/>
      <c r="D735" s="48"/>
      <c r="E735" s="49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47"/>
      <c r="C736" s="38"/>
      <c r="D736" s="48"/>
      <c r="E736" s="49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47"/>
      <c r="C737" s="38"/>
      <c r="D737" s="48"/>
      <c r="E737" s="49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47"/>
      <c r="C738" s="38"/>
      <c r="D738" s="48"/>
      <c r="E738" s="49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47"/>
      <c r="C739" s="38"/>
      <c r="D739" s="48"/>
      <c r="E739" s="49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47"/>
      <c r="C740" s="38"/>
      <c r="D740" s="48"/>
      <c r="E740" s="49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47"/>
      <c r="C741" s="38"/>
      <c r="D741" s="48"/>
      <c r="E741" s="49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47"/>
      <c r="C742" s="38"/>
      <c r="D742" s="48"/>
      <c r="E742" s="49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47"/>
      <c r="C743" s="38"/>
      <c r="D743" s="48"/>
      <c r="E743" s="49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47"/>
      <c r="C744" s="38"/>
      <c r="D744" s="48"/>
      <c r="E744" s="49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47"/>
      <c r="C745" s="38"/>
      <c r="D745" s="48"/>
      <c r="E745" s="49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47"/>
      <c r="C746" s="38"/>
      <c r="D746" s="48"/>
      <c r="E746" s="49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47"/>
      <c r="C747" s="38"/>
      <c r="D747" s="48"/>
      <c r="E747" s="49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47"/>
      <c r="C748" s="38"/>
      <c r="D748" s="48"/>
      <c r="E748" s="49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47"/>
      <c r="C749" s="38"/>
      <c r="D749" s="48"/>
      <c r="E749" s="49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47"/>
      <c r="C750" s="38"/>
      <c r="D750" s="48"/>
      <c r="E750" s="49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47"/>
      <c r="C751" s="38"/>
      <c r="D751" s="48"/>
      <c r="E751" s="49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47"/>
      <c r="C752" s="38"/>
      <c r="D752" s="48"/>
      <c r="E752" s="49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47"/>
      <c r="C753" s="38"/>
      <c r="D753" s="48"/>
      <c r="E753" s="49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47"/>
      <c r="C754" s="38"/>
      <c r="D754" s="48"/>
      <c r="E754" s="49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47"/>
      <c r="C755" s="38"/>
      <c r="D755" s="48"/>
      <c r="E755" s="49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47"/>
      <c r="C756" s="38"/>
      <c r="D756" s="48"/>
      <c r="E756" s="49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47"/>
      <c r="C757" s="38"/>
      <c r="D757" s="48"/>
      <c r="E757" s="49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47"/>
      <c r="C758" s="38"/>
      <c r="D758" s="48"/>
      <c r="E758" s="49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47"/>
      <c r="C759" s="38"/>
      <c r="D759" s="48"/>
      <c r="E759" s="49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47"/>
      <c r="C760" s="38"/>
      <c r="D760" s="48"/>
      <c r="E760" s="49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47"/>
      <c r="C761" s="38"/>
      <c r="D761" s="48"/>
      <c r="E761" s="49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47"/>
      <c r="C762" s="38"/>
      <c r="D762" s="48"/>
      <c r="E762" s="49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47"/>
      <c r="C763" s="38"/>
      <c r="D763" s="48"/>
      <c r="E763" s="49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47"/>
      <c r="C764" s="38"/>
      <c r="D764" s="48"/>
      <c r="E764" s="49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47"/>
      <c r="C765" s="38"/>
      <c r="D765" s="48"/>
      <c r="E765" s="49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47"/>
      <c r="C766" s="38"/>
      <c r="D766" s="48"/>
      <c r="E766" s="49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47"/>
      <c r="C767" s="38"/>
      <c r="D767" s="48"/>
      <c r="E767" s="49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47"/>
      <c r="C768" s="38"/>
      <c r="D768" s="48"/>
      <c r="E768" s="49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47"/>
      <c r="C769" s="38"/>
      <c r="D769" s="48"/>
      <c r="E769" s="49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47"/>
      <c r="C770" s="38"/>
      <c r="D770" s="48"/>
      <c r="E770" s="49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47"/>
      <c r="C771" s="38"/>
      <c r="D771" s="48"/>
      <c r="E771" s="49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47"/>
      <c r="C772" s="38"/>
      <c r="D772" s="48"/>
      <c r="E772" s="49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47"/>
      <c r="C773" s="38"/>
      <c r="D773" s="48"/>
      <c r="E773" s="49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47"/>
      <c r="C774" s="38"/>
      <c r="D774" s="48"/>
      <c r="E774" s="49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47"/>
      <c r="C775" s="38"/>
      <c r="D775" s="48"/>
      <c r="E775" s="49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47"/>
      <c r="C776" s="38"/>
      <c r="D776" s="48"/>
      <c r="E776" s="49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47"/>
      <c r="C777" s="38"/>
      <c r="D777" s="48"/>
      <c r="E777" s="49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47"/>
      <c r="C778" s="38"/>
      <c r="D778" s="48"/>
      <c r="E778" s="49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47"/>
      <c r="C779" s="38"/>
      <c r="D779" s="48"/>
      <c r="E779" s="49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47"/>
      <c r="C780" s="38"/>
      <c r="D780" s="48"/>
      <c r="E780" s="49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47"/>
      <c r="C781" s="38"/>
      <c r="D781" s="48"/>
      <c r="E781" s="49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47"/>
      <c r="C782" s="38"/>
      <c r="D782" s="48"/>
      <c r="E782" s="49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47"/>
      <c r="C783" s="38"/>
      <c r="D783" s="48"/>
      <c r="E783" s="49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47"/>
      <c r="C784" s="38"/>
      <c r="D784" s="48"/>
      <c r="E784" s="49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47"/>
      <c r="C785" s="38"/>
      <c r="D785" s="48"/>
      <c r="E785" s="49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47"/>
      <c r="C786" s="38"/>
      <c r="D786" s="48"/>
      <c r="E786" s="49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47"/>
      <c r="C787" s="38"/>
      <c r="D787" s="48"/>
      <c r="E787" s="49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47"/>
      <c r="C788" s="38"/>
      <c r="D788" s="48"/>
      <c r="E788" s="49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47"/>
      <c r="C789" s="38"/>
      <c r="D789" s="48"/>
      <c r="E789" s="49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47"/>
      <c r="C790" s="38"/>
      <c r="D790" s="48"/>
      <c r="E790" s="49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47"/>
      <c r="C791" s="38"/>
      <c r="D791" s="48"/>
      <c r="E791" s="49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47"/>
      <c r="C792" s="38"/>
      <c r="D792" s="48"/>
      <c r="E792" s="49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47"/>
      <c r="C793" s="38"/>
      <c r="D793" s="48"/>
      <c r="E793" s="49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47"/>
      <c r="C794" s="38"/>
      <c r="D794" s="48"/>
      <c r="E794" s="49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47"/>
      <c r="C795" s="38"/>
      <c r="D795" s="48"/>
      <c r="E795" s="49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47"/>
      <c r="C796" s="38"/>
      <c r="D796" s="48"/>
      <c r="E796" s="49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47"/>
      <c r="C797" s="38"/>
      <c r="D797" s="48"/>
      <c r="E797" s="49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47"/>
      <c r="C798" s="38"/>
      <c r="D798" s="48"/>
      <c r="E798" s="49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47"/>
      <c r="C799" s="38"/>
      <c r="D799" s="48"/>
      <c r="E799" s="49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47"/>
      <c r="C800" s="38"/>
      <c r="D800" s="48"/>
      <c r="E800" s="49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47"/>
      <c r="C801" s="38"/>
      <c r="D801" s="48"/>
      <c r="E801" s="49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47"/>
      <c r="C802" s="38"/>
      <c r="D802" s="48"/>
      <c r="E802" s="49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47"/>
      <c r="C803" s="38"/>
      <c r="D803" s="48"/>
      <c r="E803" s="49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47"/>
      <c r="C804" s="38"/>
      <c r="D804" s="48"/>
      <c r="E804" s="49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47"/>
      <c r="C805" s="38"/>
      <c r="D805" s="48"/>
      <c r="E805" s="49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47"/>
      <c r="C806" s="38"/>
      <c r="D806" s="48"/>
      <c r="E806" s="49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47"/>
      <c r="C807" s="38"/>
      <c r="D807" s="48"/>
      <c r="E807" s="49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47"/>
      <c r="C808" s="38"/>
      <c r="D808" s="48"/>
      <c r="E808" s="49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47"/>
      <c r="C809" s="38"/>
      <c r="D809" s="48"/>
      <c r="E809" s="49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47"/>
      <c r="C810" s="38"/>
      <c r="D810" s="48"/>
      <c r="E810" s="49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47"/>
      <c r="C811" s="38"/>
      <c r="D811" s="48"/>
      <c r="E811" s="49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47"/>
      <c r="C812" s="38"/>
      <c r="D812" s="48"/>
      <c r="E812" s="49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47"/>
      <c r="C813" s="38"/>
      <c r="D813" s="48"/>
      <c r="E813" s="49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47"/>
      <c r="C814" s="38"/>
      <c r="D814" s="48"/>
      <c r="E814" s="49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47"/>
      <c r="C815" s="38"/>
      <c r="D815" s="48"/>
      <c r="E815" s="49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47"/>
      <c r="C816" s="38"/>
      <c r="D816" s="48"/>
      <c r="E816" s="49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47"/>
      <c r="C817" s="38"/>
      <c r="D817" s="48"/>
      <c r="E817" s="49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47"/>
      <c r="C818" s="38"/>
      <c r="D818" s="48"/>
      <c r="E818" s="49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47"/>
      <c r="C819" s="38"/>
      <c r="D819" s="48"/>
      <c r="E819" s="49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47"/>
      <c r="C820" s="38"/>
      <c r="D820" s="48"/>
      <c r="E820" s="49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47"/>
      <c r="C821" s="38"/>
      <c r="D821" s="48"/>
      <c r="E821" s="49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47"/>
      <c r="C822" s="38"/>
      <c r="D822" s="48"/>
      <c r="E822" s="49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47"/>
      <c r="C823" s="38"/>
      <c r="D823" s="48"/>
      <c r="E823" s="49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47"/>
      <c r="C824" s="38"/>
      <c r="D824" s="48"/>
      <c r="E824" s="49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47"/>
      <c r="C825" s="38"/>
      <c r="D825" s="48"/>
      <c r="E825" s="49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47"/>
      <c r="C826" s="38"/>
      <c r="D826" s="48"/>
      <c r="E826" s="49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47"/>
      <c r="C827" s="38"/>
      <c r="D827" s="48"/>
      <c r="E827" s="49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47"/>
      <c r="C828" s="38"/>
      <c r="D828" s="48"/>
      <c r="E828" s="49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47"/>
      <c r="C829" s="38"/>
      <c r="D829" s="48"/>
      <c r="E829" s="49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47"/>
      <c r="C830" s="38"/>
      <c r="D830" s="48"/>
      <c r="E830" s="49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47"/>
      <c r="C831" s="38"/>
      <c r="D831" s="48"/>
      <c r="E831" s="49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47"/>
      <c r="C832" s="38"/>
      <c r="D832" s="48"/>
      <c r="E832" s="49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47"/>
      <c r="C833" s="38"/>
      <c r="D833" s="48"/>
      <c r="E833" s="49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47"/>
      <c r="C834" s="38"/>
      <c r="D834" s="48"/>
      <c r="E834" s="49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47"/>
      <c r="C835" s="38"/>
      <c r="D835" s="48"/>
      <c r="E835" s="49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47"/>
      <c r="C836" s="38"/>
      <c r="D836" s="48"/>
      <c r="E836" s="49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47"/>
      <c r="C837" s="38"/>
      <c r="D837" s="48"/>
      <c r="E837" s="49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47"/>
      <c r="C838" s="38"/>
      <c r="D838" s="48"/>
      <c r="E838" s="49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47"/>
      <c r="C839" s="38"/>
      <c r="D839" s="48"/>
      <c r="E839" s="49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47"/>
      <c r="C840" s="38"/>
      <c r="D840" s="48"/>
      <c r="E840" s="49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47"/>
      <c r="C841" s="38"/>
      <c r="D841" s="48"/>
      <c r="E841" s="49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47"/>
      <c r="C842" s="38"/>
      <c r="D842" s="48"/>
      <c r="E842" s="49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47"/>
      <c r="C843" s="38"/>
      <c r="D843" s="48"/>
      <c r="E843" s="49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47"/>
      <c r="C844" s="38"/>
      <c r="D844" s="48"/>
      <c r="E844" s="49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47"/>
      <c r="C845" s="38"/>
      <c r="D845" s="48"/>
      <c r="E845" s="49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47"/>
      <c r="C846" s="38"/>
      <c r="D846" s="48"/>
      <c r="E846" s="49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47"/>
      <c r="C847" s="38"/>
      <c r="D847" s="48"/>
      <c r="E847" s="49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47"/>
      <c r="C848" s="38"/>
      <c r="D848" s="48"/>
      <c r="E848" s="49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47"/>
      <c r="C849" s="38"/>
      <c r="D849" s="48"/>
      <c r="E849" s="49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47"/>
      <c r="C850" s="38"/>
      <c r="D850" s="48"/>
      <c r="E850" s="49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47"/>
      <c r="C851" s="38"/>
      <c r="D851" s="48"/>
      <c r="E851" s="49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47"/>
      <c r="C852" s="38"/>
      <c r="D852" s="48"/>
      <c r="E852" s="49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47"/>
      <c r="C853" s="38"/>
      <c r="D853" s="48"/>
      <c r="E853" s="49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47"/>
      <c r="C854" s="38"/>
      <c r="D854" s="48"/>
      <c r="E854" s="49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47"/>
      <c r="C855" s="38"/>
      <c r="D855" s="48"/>
      <c r="E855" s="49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47"/>
      <c r="C856" s="38"/>
      <c r="D856" s="48"/>
      <c r="E856" s="49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47"/>
      <c r="C857" s="38"/>
      <c r="D857" s="48"/>
      <c r="E857" s="49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47"/>
      <c r="C858" s="38"/>
      <c r="D858" s="48"/>
      <c r="E858" s="49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47"/>
      <c r="C859" s="38"/>
      <c r="D859" s="48"/>
      <c r="E859" s="49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47"/>
      <c r="C860" s="38"/>
      <c r="D860" s="48"/>
      <c r="E860" s="49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47"/>
      <c r="C861" s="38"/>
      <c r="D861" s="48"/>
      <c r="E861" s="49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47"/>
      <c r="C862" s="38"/>
      <c r="D862" s="48"/>
      <c r="E862" s="49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47"/>
      <c r="C863" s="38"/>
      <c r="D863" s="48"/>
      <c r="E863" s="49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47"/>
      <c r="C864" s="38"/>
      <c r="D864" s="48"/>
      <c r="E864" s="49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47"/>
      <c r="C865" s="38"/>
      <c r="D865" s="48"/>
      <c r="E865" s="49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47"/>
      <c r="C866" s="38"/>
      <c r="D866" s="48"/>
      <c r="E866" s="49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47"/>
      <c r="C867" s="38"/>
      <c r="D867" s="48"/>
      <c r="E867" s="49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47"/>
      <c r="C868" s="38"/>
      <c r="D868" s="48"/>
      <c r="E868" s="49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47"/>
      <c r="C869" s="38"/>
      <c r="D869" s="48"/>
      <c r="E869" s="49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47"/>
      <c r="C870" s="38"/>
      <c r="D870" s="48"/>
      <c r="E870" s="49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47"/>
      <c r="C871" s="38"/>
      <c r="D871" s="48"/>
      <c r="E871" s="49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47"/>
      <c r="C872" s="38"/>
      <c r="D872" s="48"/>
      <c r="E872" s="49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47"/>
      <c r="C873" s="38"/>
      <c r="D873" s="48"/>
      <c r="E873" s="49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47"/>
      <c r="C874" s="38"/>
      <c r="D874" s="48"/>
      <c r="E874" s="49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47"/>
      <c r="C875" s="38"/>
      <c r="D875" s="48"/>
      <c r="E875" s="49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47"/>
      <c r="C876" s="38"/>
      <c r="D876" s="48"/>
      <c r="E876" s="49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47"/>
      <c r="C877" s="38"/>
      <c r="D877" s="48"/>
      <c r="E877" s="49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47"/>
      <c r="C878" s="38"/>
      <c r="D878" s="48"/>
      <c r="E878" s="49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47"/>
      <c r="C879" s="38"/>
      <c r="D879" s="48"/>
      <c r="E879" s="49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47"/>
      <c r="C880" s="38"/>
      <c r="D880" s="48"/>
      <c r="E880" s="49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47"/>
      <c r="C881" s="38"/>
      <c r="D881" s="48"/>
      <c r="E881" s="49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47"/>
      <c r="C882" s="38"/>
      <c r="D882" s="48"/>
      <c r="E882" s="49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47"/>
      <c r="C883" s="38"/>
      <c r="D883" s="48"/>
      <c r="E883" s="49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47"/>
      <c r="C884" s="38"/>
      <c r="D884" s="48"/>
      <c r="E884" s="49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47"/>
      <c r="C885" s="38"/>
      <c r="D885" s="48"/>
      <c r="E885" s="49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47"/>
      <c r="C886" s="38"/>
      <c r="D886" s="48"/>
      <c r="E886" s="49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47"/>
      <c r="C887" s="38"/>
      <c r="D887" s="48"/>
      <c r="E887" s="49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47"/>
      <c r="C888" s="38"/>
      <c r="D888" s="48"/>
      <c r="E888" s="49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47"/>
      <c r="C889" s="38"/>
      <c r="D889" s="48"/>
      <c r="E889" s="49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47"/>
      <c r="C890" s="38"/>
      <c r="D890" s="48"/>
      <c r="E890" s="49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47"/>
      <c r="C891" s="38"/>
      <c r="D891" s="48"/>
      <c r="E891" s="49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47"/>
      <c r="C892" s="38"/>
      <c r="D892" s="48"/>
      <c r="E892" s="49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47"/>
      <c r="C893" s="38"/>
      <c r="D893" s="48"/>
      <c r="E893" s="49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47"/>
      <c r="C894" s="38"/>
      <c r="D894" s="48"/>
      <c r="E894" s="49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47"/>
      <c r="C895" s="38"/>
      <c r="D895" s="48"/>
      <c r="E895" s="49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47"/>
      <c r="C896" s="38"/>
      <c r="D896" s="48"/>
      <c r="E896" s="49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47"/>
      <c r="C897" s="38"/>
      <c r="D897" s="48"/>
      <c r="E897" s="49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47"/>
      <c r="C898" s="38"/>
      <c r="D898" s="48"/>
      <c r="E898" s="49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47"/>
      <c r="C899" s="38"/>
      <c r="D899" s="48"/>
      <c r="E899" s="49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47"/>
      <c r="C900" s="38"/>
      <c r="D900" s="48"/>
      <c r="E900" s="49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47"/>
      <c r="C901" s="38"/>
      <c r="D901" s="48"/>
      <c r="E901" s="49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47"/>
      <c r="C902" s="38"/>
      <c r="D902" s="48"/>
      <c r="E902" s="49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47"/>
      <c r="C903" s="38"/>
      <c r="D903" s="48"/>
      <c r="E903" s="49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47"/>
      <c r="C904" s="38"/>
      <c r="D904" s="48"/>
      <c r="E904" s="49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47"/>
      <c r="C905" s="38"/>
      <c r="D905" s="48"/>
      <c r="E905" s="49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47"/>
      <c r="C906" s="38"/>
      <c r="D906" s="48"/>
      <c r="E906" s="49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47"/>
      <c r="C907" s="38"/>
      <c r="D907" s="48"/>
      <c r="E907" s="49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47"/>
      <c r="C908" s="38"/>
      <c r="D908" s="48"/>
      <c r="E908" s="49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47"/>
      <c r="C909" s="38"/>
      <c r="D909" s="48"/>
      <c r="E909" s="49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47"/>
      <c r="C910" s="38"/>
      <c r="D910" s="48"/>
      <c r="E910" s="49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47"/>
      <c r="C911" s="38"/>
      <c r="D911" s="48"/>
      <c r="E911" s="49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47"/>
      <c r="C912" s="38"/>
      <c r="D912" s="48"/>
      <c r="E912" s="49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47"/>
      <c r="C913" s="38"/>
      <c r="D913" s="48"/>
      <c r="E913" s="49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47"/>
      <c r="C914" s="38"/>
      <c r="D914" s="48"/>
      <c r="E914" s="49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47"/>
      <c r="C915" s="38"/>
      <c r="D915" s="48"/>
      <c r="E915" s="49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47"/>
      <c r="C916" s="38"/>
      <c r="D916" s="48"/>
      <c r="E916" s="49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47"/>
      <c r="C917" s="38"/>
      <c r="D917" s="48"/>
      <c r="E917" s="49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47"/>
      <c r="C918" s="38"/>
      <c r="D918" s="48"/>
      <c r="E918" s="49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47"/>
      <c r="C919" s="38"/>
      <c r="D919" s="48"/>
      <c r="E919" s="49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47"/>
      <c r="C920" s="38"/>
      <c r="D920" s="48"/>
      <c r="E920" s="49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47"/>
      <c r="C921" s="38"/>
      <c r="D921" s="48"/>
      <c r="E921" s="49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47"/>
      <c r="C922" s="38"/>
      <c r="D922" s="48"/>
      <c r="E922" s="49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47"/>
      <c r="C923" s="38"/>
      <c r="D923" s="48"/>
      <c r="E923" s="49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47"/>
      <c r="C924" s="38"/>
      <c r="D924" s="48"/>
      <c r="E924" s="49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47"/>
      <c r="C925" s="38"/>
      <c r="D925" s="48"/>
      <c r="E925" s="49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47"/>
      <c r="C926" s="38"/>
      <c r="D926" s="48"/>
      <c r="E926" s="49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47"/>
      <c r="C927" s="38"/>
      <c r="D927" s="48"/>
      <c r="E927" s="49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47"/>
      <c r="C928" s="38"/>
      <c r="D928" s="48"/>
      <c r="E928" s="49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47"/>
      <c r="C929" s="38"/>
      <c r="D929" s="48"/>
      <c r="E929" s="49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47"/>
      <c r="C930" s="38"/>
      <c r="D930" s="48"/>
      <c r="E930" s="49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47"/>
      <c r="C931" s="38"/>
      <c r="D931" s="48"/>
      <c r="E931" s="49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47"/>
      <c r="C932" s="38"/>
      <c r="D932" s="48"/>
      <c r="E932" s="49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47"/>
      <c r="C933" s="38"/>
      <c r="D933" s="48"/>
      <c r="E933" s="49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47"/>
      <c r="C934" s="38"/>
      <c r="D934" s="48"/>
      <c r="E934" s="49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47"/>
      <c r="C935" s="38"/>
      <c r="D935" s="48"/>
      <c r="E935" s="49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47"/>
      <c r="C936" s="38"/>
      <c r="D936" s="48"/>
      <c r="E936" s="49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47"/>
      <c r="C937" s="38"/>
      <c r="D937" s="48"/>
      <c r="E937" s="49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47"/>
      <c r="C938" s="38"/>
      <c r="D938" s="48"/>
      <c r="E938" s="49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47"/>
      <c r="C939" s="38"/>
      <c r="D939" s="48"/>
      <c r="E939" s="49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47"/>
      <c r="C940" s="38"/>
      <c r="D940" s="48"/>
      <c r="E940" s="49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47"/>
      <c r="C941" s="38"/>
      <c r="D941" s="48"/>
      <c r="E941" s="49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47"/>
      <c r="C942" s="38"/>
      <c r="D942" s="48"/>
      <c r="E942" s="49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47"/>
      <c r="C943" s="38"/>
      <c r="D943" s="48"/>
      <c r="E943" s="49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47"/>
      <c r="C944" s="38"/>
      <c r="D944" s="48"/>
      <c r="E944" s="49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47"/>
      <c r="C945" s="38"/>
      <c r="D945" s="48"/>
      <c r="E945" s="49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47"/>
      <c r="C946" s="38"/>
      <c r="D946" s="48"/>
      <c r="E946" s="49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47"/>
      <c r="C947" s="38"/>
      <c r="D947" s="48"/>
      <c r="E947" s="49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47"/>
      <c r="C948" s="38"/>
      <c r="D948" s="48"/>
      <c r="E948" s="49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47"/>
      <c r="C949" s="38"/>
      <c r="D949" s="48"/>
      <c r="E949" s="49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47"/>
      <c r="C950" s="38"/>
      <c r="D950" s="48"/>
      <c r="E950" s="49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47"/>
      <c r="C951" s="38"/>
      <c r="D951" s="48"/>
      <c r="E951" s="49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47"/>
      <c r="C952" s="38"/>
      <c r="D952" s="48"/>
      <c r="E952" s="49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47"/>
      <c r="C953" s="38"/>
      <c r="D953" s="48"/>
      <c r="E953" s="49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47"/>
      <c r="C954" s="38"/>
      <c r="D954" s="48"/>
      <c r="E954" s="49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47"/>
      <c r="C955" s="38"/>
      <c r="D955" s="48"/>
      <c r="E955" s="49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47"/>
      <c r="C956" s="38"/>
      <c r="D956" s="48"/>
      <c r="E956" s="49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47"/>
      <c r="C957" s="38"/>
      <c r="D957" s="48"/>
      <c r="E957" s="49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47"/>
      <c r="C958" s="38"/>
      <c r="D958" s="48"/>
      <c r="E958" s="49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47"/>
      <c r="C959" s="38"/>
      <c r="D959" s="48"/>
      <c r="E959" s="49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47"/>
      <c r="C960" s="38"/>
      <c r="D960" s="48"/>
      <c r="E960" s="49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47"/>
      <c r="C961" s="38"/>
      <c r="D961" s="48"/>
      <c r="E961" s="49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47"/>
      <c r="C962" s="38"/>
      <c r="D962" s="48"/>
      <c r="E962" s="49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47"/>
      <c r="C963" s="38"/>
      <c r="D963" s="48"/>
      <c r="E963" s="49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47"/>
      <c r="C964" s="38"/>
      <c r="D964" s="48"/>
      <c r="E964" s="49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47"/>
      <c r="C965" s="38"/>
      <c r="D965" s="48"/>
      <c r="E965" s="49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47"/>
      <c r="C966" s="38"/>
      <c r="D966" s="48"/>
      <c r="E966" s="49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47"/>
      <c r="C967" s="38"/>
      <c r="D967" s="48"/>
      <c r="E967" s="49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47"/>
      <c r="C968" s="38"/>
      <c r="D968" s="48"/>
      <c r="E968" s="49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47"/>
      <c r="C969" s="38"/>
      <c r="D969" s="48"/>
      <c r="E969" s="49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47"/>
      <c r="C970" s="38"/>
      <c r="D970" s="48"/>
      <c r="E970" s="49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47"/>
      <c r="C971" s="38"/>
      <c r="D971" s="48"/>
      <c r="E971" s="49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47"/>
      <c r="C972" s="38"/>
      <c r="D972" s="48"/>
      <c r="E972" s="49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47"/>
      <c r="C973" s="38"/>
      <c r="D973" s="48"/>
      <c r="E973" s="49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47"/>
      <c r="C974" s="38"/>
      <c r="D974" s="48"/>
      <c r="E974" s="49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47"/>
      <c r="C975" s="38"/>
      <c r="D975" s="48"/>
      <c r="E975" s="49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47"/>
      <c r="C976" s="38"/>
      <c r="D976" s="48"/>
      <c r="E976" s="49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47"/>
      <c r="C977" s="38"/>
      <c r="D977" s="48"/>
      <c r="E977" s="49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47"/>
      <c r="C978" s="38"/>
      <c r="D978" s="48"/>
      <c r="E978" s="49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47"/>
      <c r="C979" s="38"/>
      <c r="D979" s="48"/>
      <c r="E979" s="49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47"/>
      <c r="C980" s="38"/>
      <c r="D980" s="48"/>
      <c r="E980" s="49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47"/>
      <c r="C981" s="38"/>
      <c r="D981" s="48"/>
      <c r="E981" s="49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47"/>
      <c r="C982" s="38"/>
      <c r="D982" s="48"/>
      <c r="E982" s="49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47"/>
      <c r="C983" s="38"/>
      <c r="D983" s="48"/>
      <c r="E983" s="49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47"/>
      <c r="C984" s="38"/>
      <c r="D984" s="48"/>
      <c r="E984" s="49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47"/>
      <c r="C985" s="38"/>
      <c r="D985" s="48"/>
      <c r="E985" s="49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47"/>
      <c r="C986" s="38"/>
      <c r="D986" s="48"/>
      <c r="E986" s="49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47"/>
      <c r="C987" s="38"/>
      <c r="D987" s="48"/>
      <c r="E987" s="49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47"/>
      <c r="C988" s="38"/>
      <c r="D988" s="48"/>
      <c r="E988" s="49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47"/>
      <c r="C989" s="38"/>
      <c r="D989" s="48"/>
      <c r="E989" s="49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47"/>
      <c r="C990" s="38"/>
      <c r="D990" s="48"/>
      <c r="E990" s="49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47"/>
      <c r="C991" s="38"/>
      <c r="D991" s="48"/>
      <c r="E991" s="49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47"/>
      <c r="C992" s="38"/>
      <c r="D992" s="48"/>
      <c r="E992" s="49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47"/>
      <c r="C993" s="38"/>
      <c r="D993" s="48"/>
      <c r="E993" s="49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47"/>
      <c r="C994" s="38"/>
      <c r="D994" s="48"/>
      <c r="E994" s="49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47"/>
      <c r="C995" s="38"/>
      <c r="D995" s="48"/>
      <c r="E995" s="49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47"/>
      <c r="C996" s="38"/>
      <c r="D996" s="48"/>
      <c r="E996" s="49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47"/>
      <c r="C997" s="38"/>
      <c r="D997" s="48"/>
      <c r="E997" s="49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47"/>
      <c r="C998" s="38"/>
      <c r="D998" s="48"/>
      <c r="E998" s="49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47"/>
      <c r="C999" s="38"/>
      <c r="D999" s="48"/>
      <c r="E999" s="49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47"/>
      <c r="C1000" s="38"/>
      <c r="D1000" s="48"/>
      <c r="E1000" s="49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  <row r="1001">
      <c r="A1001" s="38"/>
      <c r="B1001" s="47"/>
      <c r="C1001" s="38"/>
      <c r="D1001" s="48"/>
      <c r="E1001" s="49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</row>
    <row r="1002">
      <c r="A1002" s="38"/>
      <c r="B1002" s="47"/>
      <c r="C1002" s="38"/>
      <c r="D1002" s="48"/>
      <c r="E1002" s="49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</row>
    <row r="1003">
      <c r="A1003" s="38"/>
      <c r="B1003" s="47"/>
      <c r="C1003" s="38"/>
      <c r="D1003" s="48"/>
      <c r="E1003" s="49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</row>
    <row r="1004">
      <c r="A1004" s="38"/>
      <c r="B1004" s="47"/>
      <c r="C1004" s="38"/>
      <c r="D1004" s="48"/>
      <c r="E1004" s="49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</row>
    <row r="1005">
      <c r="A1005" s="38"/>
      <c r="B1005" s="47"/>
      <c r="C1005" s="38"/>
      <c r="D1005" s="48"/>
      <c r="E1005" s="49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</row>
    <row r="1006">
      <c r="A1006" s="38"/>
      <c r="B1006" s="47"/>
      <c r="C1006" s="38"/>
      <c r="D1006" s="48"/>
      <c r="E1006" s="49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</row>
    <row r="1007">
      <c r="A1007" s="38"/>
      <c r="B1007" s="47"/>
      <c r="C1007" s="38"/>
      <c r="D1007" s="48"/>
      <c r="E1007" s="49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</row>
    <row r="1008">
      <c r="A1008" s="38"/>
      <c r="B1008" s="47"/>
      <c r="C1008" s="38"/>
      <c r="D1008" s="48"/>
      <c r="E1008" s="49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</row>
    <row r="1009">
      <c r="A1009" s="38"/>
      <c r="B1009" s="47"/>
      <c r="C1009" s="38"/>
      <c r="D1009" s="48"/>
      <c r="E1009" s="49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</row>
    <row r="1010">
      <c r="A1010" s="38"/>
      <c r="B1010" s="47"/>
      <c r="C1010" s="38"/>
      <c r="D1010" s="48"/>
      <c r="E1010" s="49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</row>
    <row r="1011">
      <c r="A1011" s="38"/>
      <c r="B1011" s="47"/>
      <c r="C1011" s="38"/>
      <c r="D1011" s="48"/>
      <c r="E1011" s="49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</row>
    <row r="1012">
      <c r="A1012" s="38"/>
      <c r="B1012" s="47"/>
      <c r="C1012" s="38"/>
      <c r="D1012" s="48"/>
      <c r="E1012" s="49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</row>
    <row r="1013">
      <c r="A1013" s="38"/>
      <c r="B1013" s="47"/>
      <c r="C1013" s="38"/>
      <c r="D1013" s="48"/>
      <c r="E1013" s="49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</row>
    <row r="1014">
      <c r="A1014" s="38"/>
      <c r="B1014" s="47"/>
      <c r="C1014" s="38"/>
      <c r="D1014" s="48"/>
      <c r="E1014" s="49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</row>
    <row r="1015">
      <c r="A1015" s="38"/>
      <c r="B1015" s="47"/>
      <c r="C1015" s="38"/>
      <c r="D1015" s="48"/>
      <c r="E1015" s="49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</row>
    <row r="1016">
      <c r="A1016" s="38"/>
      <c r="B1016" s="47"/>
      <c r="C1016" s="38"/>
      <c r="D1016" s="48"/>
      <c r="E1016" s="49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</row>
    <row r="1017">
      <c r="A1017" s="38"/>
      <c r="B1017" s="47"/>
      <c r="C1017" s="38"/>
      <c r="D1017" s="48"/>
      <c r="E1017" s="49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</row>
    <row r="1018">
      <c r="A1018" s="38"/>
      <c r="B1018" s="47"/>
      <c r="C1018" s="38"/>
      <c r="D1018" s="48"/>
      <c r="E1018" s="49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</row>
    <row r="1019">
      <c r="A1019" s="38"/>
      <c r="B1019" s="47"/>
      <c r="C1019" s="38"/>
      <c r="D1019" s="48"/>
      <c r="E1019" s="49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</row>
    <row r="1020">
      <c r="A1020" s="38"/>
      <c r="B1020" s="47"/>
      <c r="C1020" s="38"/>
      <c r="D1020" s="48"/>
      <c r="E1020" s="49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</row>
    <row r="1021">
      <c r="A1021" s="38"/>
      <c r="B1021" s="47"/>
      <c r="C1021" s="38"/>
      <c r="D1021" s="48"/>
      <c r="E1021" s="49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</row>
    <row r="1022">
      <c r="A1022" s="38"/>
      <c r="B1022" s="47"/>
      <c r="C1022" s="38"/>
      <c r="D1022" s="48"/>
      <c r="E1022" s="49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</row>
    <row r="1023">
      <c r="A1023" s="38"/>
      <c r="B1023" s="47"/>
      <c r="C1023" s="38"/>
      <c r="D1023" s="48"/>
      <c r="E1023" s="49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</row>
    <row r="1024">
      <c r="A1024" s="38"/>
      <c r="B1024" s="47"/>
      <c r="C1024" s="38"/>
      <c r="D1024" s="48"/>
      <c r="E1024" s="49"/>
      <c r="F1024" s="38"/>
      <c r="G1024" s="38"/>
      <c r="H1024" s="38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</row>
    <row r="1025">
      <c r="A1025" s="38"/>
      <c r="B1025" s="47"/>
      <c r="C1025" s="38"/>
      <c r="D1025" s="48"/>
      <c r="E1025" s="49"/>
      <c r="F1025" s="38"/>
      <c r="G1025" s="38"/>
      <c r="H1025" s="38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</row>
    <row r="1026">
      <c r="A1026" s="38"/>
      <c r="B1026" s="47"/>
      <c r="C1026" s="38"/>
      <c r="D1026" s="48"/>
      <c r="E1026" s="49"/>
      <c r="F1026" s="38"/>
      <c r="G1026" s="38"/>
      <c r="H1026" s="38"/>
      <c r="I1026" s="38"/>
      <c r="J1026" s="38"/>
      <c r="K1026" s="38"/>
      <c r="L1026" s="38"/>
      <c r="M1026" s="38"/>
      <c r="N1026" s="38"/>
      <c r="O1026" s="38"/>
      <c r="P1026" s="38"/>
      <c r="Q1026" s="38"/>
      <c r="R1026" s="38"/>
      <c r="S1026" s="38"/>
      <c r="T1026" s="38"/>
      <c r="U1026" s="38"/>
      <c r="V1026" s="38"/>
      <c r="W1026" s="38"/>
      <c r="X1026" s="38"/>
      <c r="Y1026" s="38"/>
      <c r="Z1026" s="38"/>
    </row>
    <row r="1027">
      <c r="A1027" s="38"/>
      <c r="B1027" s="47"/>
      <c r="C1027" s="38"/>
      <c r="D1027" s="48"/>
      <c r="E1027" s="49"/>
      <c r="F1027" s="38"/>
      <c r="G1027" s="38"/>
      <c r="H1027" s="38"/>
      <c r="I1027" s="38"/>
      <c r="J1027" s="38"/>
      <c r="K1027" s="38"/>
      <c r="L1027" s="38"/>
      <c r="M1027" s="38"/>
      <c r="N1027" s="38"/>
      <c r="O1027" s="38"/>
      <c r="P1027" s="38"/>
      <c r="Q1027" s="38"/>
      <c r="R1027" s="38"/>
      <c r="S1027" s="38"/>
      <c r="T1027" s="38"/>
      <c r="U1027" s="38"/>
      <c r="V1027" s="38"/>
      <c r="W1027" s="38"/>
      <c r="X1027" s="38"/>
      <c r="Y1027" s="38"/>
      <c r="Z1027" s="38"/>
    </row>
    <row r="1028">
      <c r="A1028" s="38"/>
      <c r="B1028" s="47"/>
      <c r="C1028" s="38"/>
      <c r="D1028" s="48"/>
      <c r="E1028" s="49"/>
      <c r="F1028" s="38"/>
      <c r="G1028" s="38"/>
      <c r="H1028" s="38"/>
      <c r="I1028" s="38"/>
      <c r="J1028" s="38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8"/>
      <c r="X1028" s="38"/>
      <c r="Y1028" s="38"/>
      <c r="Z1028" s="38"/>
    </row>
    <row r="1029">
      <c r="A1029" s="38"/>
      <c r="B1029" s="47"/>
      <c r="C1029" s="38"/>
      <c r="D1029" s="48"/>
      <c r="E1029" s="49"/>
      <c r="F1029" s="38"/>
      <c r="G1029" s="38"/>
      <c r="H1029" s="38"/>
      <c r="I1029" s="38"/>
      <c r="J1029" s="38"/>
      <c r="K1029" s="38"/>
      <c r="L1029" s="38"/>
      <c r="M1029" s="38"/>
      <c r="N1029" s="38"/>
      <c r="O1029" s="38"/>
      <c r="P1029" s="38"/>
      <c r="Q1029" s="38"/>
      <c r="R1029" s="38"/>
      <c r="S1029" s="38"/>
      <c r="T1029" s="38"/>
      <c r="U1029" s="38"/>
      <c r="V1029" s="38"/>
      <c r="W1029" s="38"/>
      <c r="X1029" s="38"/>
      <c r="Y1029" s="38"/>
      <c r="Z1029" s="38"/>
    </row>
    <row r="1030">
      <c r="A1030" s="38"/>
      <c r="B1030" s="47"/>
      <c r="C1030" s="38"/>
      <c r="D1030" s="48"/>
      <c r="E1030" s="49"/>
      <c r="F1030" s="38"/>
      <c r="G1030" s="38"/>
      <c r="H1030" s="38"/>
      <c r="I1030" s="38"/>
      <c r="J1030" s="38"/>
      <c r="K1030" s="38"/>
      <c r="L1030" s="38"/>
      <c r="M1030" s="38"/>
      <c r="N1030" s="38"/>
      <c r="O1030" s="38"/>
      <c r="P1030" s="38"/>
      <c r="Q1030" s="38"/>
      <c r="R1030" s="38"/>
      <c r="S1030" s="38"/>
      <c r="T1030" s="38"/>
      <c r="U1030" s="38"/>
      <c r="V1030" s="38"/>
      <c r="W1030" s="38"/>
      <c r="X1030" s="38"/>
      <c r="Y1030" s="38"/>
      <c r="Z1030" s="38"/>
    </row>
    <row r="1031">
      <c r="A1031" s="38"/>
      <c r="B1031" s="47"/>
      <c r="C1031" s="38"/>
      <c r="D1031" s="48"/>
      <c r="E1031" s="49"/>
      <c r="F1031" s="38"/>
      <c r="G1031" s="38"/>
      <c r="H1031" s="38"/>
      <c r="I1031" s="38"/>
      <c r="J1031" s="38"/>
      <c r="K1031" s="38"/>
      <c r="L1031" s="38"/>
      <c r="M1031" s="38"/>
      <c r="N1031" s="38"/>
      <c r="O1031" s="38"/>
      <c r="P1031" s="38"/>
      <c r="Q1031" s="38"/>
      <c r="R1031" s="38"/>
      <c r="S1031" s="38"/>
      <c r="T1031" s="38"/>
      <c r="U1031" s="38"/>
      <c r="V1031" s="38"/>
      <c r="W1031" s="38"/>
      <c r="X1031" s="38"/>
      <c r="Y1031" s="38"/>
      <c r="Z1031" s="38"/>
    </row>
    <row r="1032">
      <c r="A1032" s="38"/>
      <c r="B1032" s="47"/>
      <c r="C1032" s="38"/>
      <c r="D1032" s="48"/>
      <c r="E1032" s="49"/>
      <c r="F1032" s="38"/>
      <c r="G1032" s="38"/>
      <c r="H1032" s="38"/>
      <c r="I1032" s="38"/>
      <c r="J1032" s="38"/>
      <c r="K1032" s="38"/>
      <c r="L1032" s="38"/>
      <c r="M1032" s="38"/>
      <c r="N1032" s="38"/>
      <c r="O1032" s="38"/>
      <c r="P1032" s="38"/>
      <c r="Q1032" s="38"/>
      <c r="R1032" s="38"/>
      <c r="S1032" s="38"/>
      <c r="T1032" s="38"/>
      <c r="U1032" s="38"/>
      <c r="V1032" s="38"/>
      <c r="W1032" s="38"/>
      <c r="X1032" s="38"/>
      <c r="Y1032" s="38"/>
      <c r="Z1032" s="38"/>
    </row>
    <row r="1033">
      <c r="A1033" s="38"/>
      <c r="B1033" s="47"/>
      <c r="C1033" s="38"/>
      <c r="D1033" s="48"/>
      <c r="E1033" s="49"/>
      <c r="F1033" s="38"/>
      <c r="G1033" s="38"/>
      <c r="H1033" s="38"/>
      <c r="I1033" s="38"/>
      <c r="J1033" s="38"/>
      <c r="K1033" s="38"/>
      <c r="L1033" s="38"/>
      <c r="M1033" s="38"/>
      <c r="N1033" s="38"/>
      <c r="O1033" s="38"/>
      <c r="P1033" s="38"/>
      <c r="Q1033" s="38"/>
      <c r="R1033" s="38"/>
      <c r="S1033" s="38"/>
      <c r="T1033" s="38"/>
      <c r="U1033" s="38"/>
      <c r="V1033" s="38"/>
      <c r="W1033" s="38"/>
      <c r="X1033" s="38"/>
      <c r="Y1033" s="38"/>
      <c r="Z1033" s="38"/>
    </row>
    <row r="1034">
      <c r="A1034" s="38"/>
      <c r="B1034" s="47"/>
      <c r="C1034" s="38"/>
      <c r="D1034" s="48"/>
      <c r="E1034" s="49"/>
      <c r="F1034" s="38"/>
      <c r="G1034" s="38"/>
      <c r="H1034" s="38"/>
      <c r="I1034" s="38"/>
      <c r="J1034" s="38"/>
      <c r="K1034" s="38"/>
      <c r="L1034" s="38"/>
      <c r="M1034" s="38"/>
      <c r="N1034" s="38"/>
      <c r="O1034" s="38"/>
      <c r="P1034" s="38"/>
      <c r="Q1034" s="38"/>
      <c r="R1034" s="38"/>
      <c r="S1034" s="38"/>
      <c r="T1034" s="38"/>
      <c r="U1034" s="38"/>
      <c r="V1034" s="38"/>
      <c r="W1034" s="38"/>
      <c r="X1034" s="38"/>
      <c r="Y1034" s="38"/>
      <c r="Z1034" s="38"/>
    </row>
    <row r="1035">
      <c r="A1035" s="38"/>
      <c r="B1035" s="47"/>
      <c r="C1035" s="38"/>
      <c r="D1035" s="48"/>
      <c r="E1035" s="49"/>
      <c r="F1035" s="38"/>
      <c r="G1035" s="38"/>
      <c r="H1035" s="38"/>
      <c r="I1035" s="38"/>
      <c r="J1035" s="38"/>
      <c r="K1035" s="38"/>
      <c r="L1035" s="38"/>
      <c r="M1035" s="38"/>
      <c r="N1035" s="38"/>
      <c r="O1035" s="38"/>
      <c r="P1035" s="38"/>
      <c r="Q1035" s="38"/>
      <c r="R1035" s="38"/>
      <c r="S1035" s="38"/>
      <c r="T1035" s="38"/>
      <c r="U1035" s="38"/>
      <c r="V1035" s="38"/>
      <c r="W1035" s="38"/>
      <c r="X1035" s="38"/>
      <c r="Y1035" s="38"/>
      <c r="Z1035" s="38"/>
    </row>
    <row r="1036">
      <c r="A1036" s="38"/>
      <c r="B1036" s="47"/>
      <c r="C1036" s="38"/>
      <c r="D1036" s="48"/>
      <c r="E1036" s="49"/>
      <c r="F1036" s="38"/>
      <c r="G1036" s="38"/>
      <c r="H1036" s="38"/>
      <c r="I1036" s="38"/>
      <c r="J1036" s="38"/>
      <c r="K1036" s="38"/>
      <c r="L1036" s="38"/>
      <c r="M1036" s="38"/>
      <c r="N1036" s="38"/>
      <c r="O1036" s="38"/>
      <c r="P1036" s="38"/>
      <c r="Q1036" s="38"/>
      <c r="R1036" s="38"/>
      <c r="S1036" s="38"/>
      <c r="T1036" s="38"/>
      <c r="U1036" s="38"/>
      <c r="V1036" s="38"/>
      <c r="W1036" s="38"/>
      <c r="X1036" s="38"/>
      <c r="Y1036" s="38"/>
      <c r="Z1036" s="38"/>
    </row>
    <row r="1037">
      <c r="A1037" s="38"/>
      <c r="B1037" s="47"/>
      <c r="C1037" s="38"/>
      <c r="D1037" s="48"/>
      <c r="E1037" s="49"/>
      <c r="F1037" s="38"/>
      <c r="G1037" s="38"/>
      <c r="H1037" s="38"/>
      <c r="I1037" s="38"/>
      <c r="J1037" s="38"/>
      <c r="K1037" s="38"/>
      <c r="L1037" s="38"/>
      <c r="M1037" s="38"/>
      <c r="N1037" s="38"/>
      <c r="O1037" s="38"/>
      <c r="P1037" s="38"/>
      <c r="Q1037" s="38"/>
      <c r="R1037" s="38"/>
      <c r="S1037" s="38"/>
      <c r="T1037" s="38"/>
      <c r="U1037" s="38"/>
      <c r="V1037" s="38"/>
      <c r="W1037" s="38"/>
      <c r="X1037" s="38"/>
      <c r="Y1037" s="38"/>
      <c r="Z1037" s="38"/>
    </row>
    <row r="1038">
      <c r="A1038" s="38"/>
      <c r="B1038" s="47"/>
      <c r="C1038" s="38"/>
      <c r="D1038" s="48"/>
      <c r="E1038" s="49"/>
      <c r="F1038" s="38"/>
      <c r="G1038" s="38"/>
      <c r="H1038" s="38"/>
      <c r="I1038" s="38"/>
      <c r="J1038" s="38"/>
      <c r="K1038" s="38"/>
      <c r="L1038" s="38"/>
      <c r="M1038" s="38"/>
      <c r="N1038" s="38"/>
      <c r="O1038" s="38"/>
      <c r="P1038" s="38"/>
      <c r="Q1038" s="38"/>
      <c r="R1038" s="38"/>
      <c r="S1038" s="38"/>
      <c r="T1038" s="38"/>
      <c r="U1038" s="38"/>
      <c r="V1038" s="38"/>
      <c r="W1038" s="38"/>
      <c r="X1038" s="38"/>
      <c r="Y1038" s="38"/>
      <c r="Z1038" s="38"/>
    </row>
    <row r="1039">
      <c r="A1039" s="38"/>
      <c r="B1039" s="47"/>
      <c r="C1039" s="38"/>
      <c r="D1039" s="48"/>
      <c r="E1039" s="49"/>
      <c r="F1039" s="38"/>
      <c r="G1039" s="38"/>
      <c r="H1039" s="38"/>
      <c r="I1039" s="38"/>
      <c r="J1039" s="38"/>
      <c r="K1039" s="38"/>
      <c r="L1039" s="38"/>
      <c r="M1039" s="38"/>
      <c r="N1039" s="38"/>
      <c r="O1039" s="38"/>
      <c r="P1039" s="38"/>
      <c r="Q1039" s="38"/>
      <c r="R1039" s="38"/>
      <c r="S1039" s="38"/>
      <c r="T1039" s="38"/>
      <c r="U1039" s="38"/>
      <c r="V1039" s="38"/>
      <c r="W1039" s="38"/>
      <c r="X1039" s="38"/>
      <c r="Y1039" s="38"/>
      <c r="Z1039" s="38"/>
    </row>
    <row r="1040">
      <c r="A1040" s="38"/>
      <c r="B1040" s="47"/>
      <c r="C1040" s="38"/>
      <c r="D1040" s="48"/>
      <c r="E1040" s="49"/>
      <c r="F1040" s="38"/>
      <c r="G1040" s="38"/>
      <c r="H1040" s="38"/>
      <c r="I1040" s="38"/>
      <c r="J1040" s="38"/>
      <c r="K1040" s="38"/>
      <c r="L1040" s="38"/>
      <c r="M1040" s="38"/>
      <c r="N1040" s="38"/>
      <c r="O1040" s="38"/>
      <c r="P1040" s="38"/>
      <c r="Q1040" s="38"/>
      <c r="R1040" s="38"/>
      <c r="S1040" s="38"/>
      <c r="T1040" s="38"/>
      <c r="U1040" s="38"/>
      <c r="V1040" s="38"/>
      <c r="W1040" s="38"/>
      <c r="X1040" s="38"/>
      <c r="Y1040" s="38"/>
      <c r="Z1040" s="38"/>
    </row>
    <row r="1041">
      <c r="A1041" s="38"/>
      <c r="B1041" s="47"/>
      <c r="C1041" s="38"/>
      <c r="D1041" s="48"/>
      <c r="E1041" s="49"/>
      <c r="F1041" s="38"/>
      <c r="G1041" s="38"/>
      <c r="H1041" s="38"/>
      <c r="I1041" s="38"/>
      <c r="J1041" s="38"/>
      <c r="K1041" s="38"/>
      <c r="L1041" s="38"/>
      <c r="M1041" s="38"/>
      <c r="N1041" s="38"/>
      <c r="O1041" s="38"/>
      <c r="P1041" s="38"/>
      <c r="Q1041" s="38"/>
      <c r="R1041" s="38"/>
      <c r="S1041" s="38"/>
      <c r="T1041" s="38"/>
      <c r="U1041" s="38"/>
      <c r="V1041" s="38"/>
      <c r="W1041" s="38"/>
      <c r="X1041" s="38"/>
      <c r="Y1041" s="38"/>
      <c r="Z1041" s="38"/>
    </row>
    <row r="1042">
      <c r="A1042" s="38"/>
      <c r="B1042" s="47"/>
      <c r="C1042" s="38"/>
      <c r="D1042" s="48"/>
      <c r="E1042" s="49"/>
      <c r="F1042" s="38"/>
      <c r="G1042" s="38"/>
      <c r="H1042" s="38"/>
      <c r="I1042" s="38"/>
      <c r="J1042" s="38"/>
      <c r="K1042" s="38"/>
      <c r="L1042" s="38"/>
      <c r="M1042" s="38"/>
      <c r="N1042" s="38"/>
      <c r="O1042" s="38"/>
      <c r="P1042" s="38"/>
      <c r="Q1042" s="38"/>
      <c r="R1042" s="38"/>
      <c r="S1042" s="38"/>
      <c r="T1042" s="38"/>
      <c r="U1042" s="38"/>
      <c r="V1042" s="38"/>
      <c r="W1042" s="38"/>
      <c r="X1042" s="38"/>
      <c r="Y1042" s="38"/>
      <c r="Z1042" s="38"/>
    </row>
    <row r="1043">
      <c r="A1043" s="38"/>
      <c r="B1043" s="47"/>
      <c r="C1043" s="38"/>
      <c r="D1043" s="48"/>
      <c r="E1043" s="49"/>
      <c r="F1043" s="38"/>
      <c r="G1043" s="38"/>
      <c r="H1043" s="38"/>
      <c r="I1043" s="38"/>
      <c r="J1043" s="38"/>
      <c r="K1043" s="38"/>
      <c r="L1043" s="38"/>
      <c r="M1043" s="38"/>
      <c r="N1043" s="38"/>
      <c r="O1043" s="38"/>
      <c r="P1043" s="38"/>
      <c r="Q1043" s="38"/>
      <c r="R1043" s="38"/>
      <c r="S1043" s="38"/>
      <c r="T1043" s="38"/>
      <c r="U1043" s="38"/>
      <c r="V1043" s="38"/>
      <c r="W1043" s="38"/>
      <c r="X1043" s="38"/>
      <c r="Y1043" s="38"/>
      <c r="Z1043" s="38"/>
    </row>
    <row r="1044">
      <c r="A1044" s="38"/>
      <c r="B1044" s="47"/>
      <c r="C1044" s="38"/>
      <c r="D1044" s="48"/>
      <c r="E1044" s="49"/>
      <c r="F1044" s="38"/>
      <c r="G1044" s="38"/>
      <c r="H1044" s="38"/>
      <c r="I1044" s="38"/>
      <c r="J1044" s="38"/>
      <c r="K1044" s="38"/>
      <c r="L1044" s="38"/>
      <c r="M1044" s="38"/>
      <c r="N1044" s="38"/>
      <c r="O1044" s="38"/>
      <c r="P1044" s="38"/>
      <c r="Q1044" s="38"/>
      <c r="R1044" s="38"/>
      <c r="S1044" s="38"/>
      <c r="T1044" s="38"/>
      <c r="U1044" s="38"/>
      <c r="V1044" s="38"/>
      <c r="W1044" s="38"/>
      <c r="X1044" s="38"/>
      <c r="Y1044" s="38"/>
      <c r="Z1044" s="38"/>
    </row>
    <row r="1045">
      <c r="A1045" s="38"/>
      <c r="B1045" s="47"/>
      <c r="C1045" s="38"/>
      <c r="D1045" s="48"/>
      <c r="E1045" s="49"/>
      <c r="F1045" s="38"/>
      <c r="G1045" s="38"/>
      <c r="H1045" s="38"/>
      <c r="I1045" s="38"/>
      <c r="J1045" s="38"/>
      <c r="K1045" s="38"/>
      <c r="L1045" s="38"/>
      <c r="M1045" s="38"/>
      <c r="N1045" s="38"/>
      <c r="O1045" s="38"/>
      <c r="P1045" s="38"/>
      <c r="Q1045" s="38"/>
      <c r="R1045" s="38"/>
      <c r="S1045" s="38"/>
      <c r="T1045" s="38"/>
      <c r="U1045" s="38"/>
      <c r="V1045" s="38"/>
      <c r="W1045" s="38"/>
      <c r="X1045" s="38"/>
      <c r="Y1045" s="38"/>
      <c r="Z1045" s="38"/>
    </row>
    <row r="1046">
      <c r="A1046" s="38"/>
      <c r="B1046" s="47"/>
      <c r="C1046" s="38"/>
      <c r="D1046" s="48"/>
      <c r="E1046" s="49"/>
      <c r="F1046" s="38"/>
      <c r="G1046" s="38"/>
      <c r="H1046" s="38"/>
      <c r="I1046" s="38"/>
      <c r="J1046" s="38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  <c r="W1046" s="38"/>
      <c r="X1046" s="38"/>
      <c r="Y1046" s="38"/>
      <c r="Z1046" s="38"/>
    </row>
    <row r="1047">
      <c r="A1047" s="38"/>
      <c r="B1047" s="47"/>
      <c r="C1047" s="38"/>
      <c r="D1047" s="48"/>
      <c r="E1047" s="49"/>
      <c r="F1047" s="38"/>
      <c r="G1047" s="38"/>
      <c r="H1047" s="38"/>
      <c r="I1047" s="38"/>
      <c r="J1047" s="38"/>
      <c r="K1047" s="38"/>
      <c r="L1047" s="38"/>
      <c r="M1047" s="38"/>
      <c r="N1047" s="38"/>
      <c r="O1047" s="38"/>
      <c r="P1047" s="38"/>
      <c r="Q1047" s="38"/>
      <c r="R1047" s="38"/>
      <c r="S1047" s="38"/>
      <c r="T1047" s="38"/>
      <c r="U1047" s="38"/>
      <c r="V1047" s="38"/>
      <c r="W1047" s="38"/>
      <c r="X1047" s="38"/>
      <c r="Y1047" s="38"/>
      <c r="Z1047" s="38"/>
    </row>
    <row r="1048">
      <c r="A1048" s="38"/>
      <c r="B1048" s="47"/>
      <c r="C1048" s="38"/>
      <c r="D1048" s="48"/>
      <c r="E1048" s="49"/>
      <c r="F1048" s="38"/>
      <c r="G1048" s="38"/>
      <c r="H1048" s="38"/>
      <c r="I1048" s="38"/>
      <c r="J1048" s="38"/>
      <c r="K1048" s="38"/>
      <c r="L1048" s="38"/>
      <c r="M1048" s="38"/>
      <c r="N1048" s="38"/>
      <c r="O1048" s="38"/>
      <c r="P1048" s="38"/>
      <c r="Q1048" s="38"/>
      <c r="R1048" s="38"/>
      <c r="S1048" s="38"/>
      <c r="T1048" s="38"/>
      <c r="U1048" s="38"/>
      <c r="V1048" s="38"/>
      <c r="W1048" s="38"/>
      <c r="X1048" s="38"/>
      <c r="Y1048" s="38"/>
      <c r="Z1048" s="38"/>
    </row>
    <row r="1049">
      <c r="A1049" s="38"/>
      <c r="B1049" s="47"/>
      <c r="C1049" s="38"/>
      <c r="D1049" s="48"/>
      <c r="E1049" s="49"/>
      <c r="F1049" s="38"/>
      <c r="G1049" s="38"/>
      <c r="H1049" s="38"/>
      <c r="I1049" s="38"/>
      <c r="J1049" s="38"/>
      <c r="K1049" s="38"/>
      <c r="L1049" s="38"/>
      <c r="M1049" s="38"/>
      <c r="N1049" s="38"/>
      <c r="O1049" s="38"/>
      <c r="P1049" s="38"/>
      <c r="Q1049" s="38"/>
      <c r="R1049" s="38"/>
      <c r="S1049" s="38"/>
      <c r="T1049" s="38"/>
      <c r="U1049" s="38"/>
      <c r="V1049" s="38"/>
      <c r="W1049" s="38"/>
      <c r="X1049" s="38"/>
      <c r="Y1049" s="38"/>
      <c r="Z1049" s="38"/>
    </row>
    <row r="1050">
      <c r="A1050" s="38"/>
      <c r="B1050" s="47"/>
      <c r="C1050" s="38"/>
      <c r="D1050" s="48"/>
      <c r="E1050" s="49"/>
      <c r="F1050" s="38"/>
      <c r="G1050" s="38"/>
      <c r="H1050" s="38"/>
      <c r="I1050" s="38"/>
      <c r="J1050" s="38"/>
      <c r="K1050" s="38"/>
      <c r="L1050" s="38"/>
      <c r="M1050" s="38"/>
      <c r="N1050" s="38"/>
      <c r="O1050" s="38"/>
      <c r="P1050" s="38"/>
      <c r="Q1050" s="38"/>
      <c r="R1050" s="38"/>
      <c r="S1050" s="38"/>
      <c r="T1050" s="38"/>
      <c r="U1050" s="38"/>
      <c r="V1050" s="38"/>
      <c r="W1050" s="38"/>
      <c r="X1050" s="38"/>
      <c r="Y1050" s="38"/>
      <c r="Z1050" s="38"/>
    </row>
    <row r="1051">
      <c r="A1051" s="38"/>
      <c r="B1051" s="47"/>
      <c r="C1051" s="38"/>
      <c r="D1051" s="48"/>
      <c r="E1051" s="49"/>
      <c r="F1051" s="38"/>
      <c r="G1051" s="38"/>
      <c r="H1051" s="38"/>
      <c r="I1051" s="38"/>
      <c r="J1051" s="38"/>
      <c r="K1051" s="38"/>
      <c r="L1051" s="38"/>
      <c r="M1051" s="38"/>
      <c r="N1051" s="38"/>
      <c r="O1051" s="38"/>
      <c r="P1051" s="38"/>
      <c r="Q1051" s="38"/>
      <c r="R1051" s="38"/>
      <c r="S1051" s="38"/>
      <c r="T1051" s="38"/>
      <c r="U1051" s="38"/>
      <c r="V1051" s="38"/>
      <c r="W1051" s="38"/>
      <c r="X1051" s="38"/>
      <c r="Y1051" s="38"/>
      <c r="Z1051" s="38"/>
    </row>
    <row r="1052">
      <c r="A1052" s="38"/>
      <c r="B1052" s="47"/>
      <c r="C1052" s="38"/>
      <c r="D1052" s="48"/>
      <c r="E1052" s="49"/>
      <c r="F1052" s="38"/>
      <c r="G1052" s="38"/>
      <c r="H1052" s="38"/>
      <c r="I1052" s="38"/>
      <c r="J1052" s="38"/>
      <c r="K1052" s="38"/>
      <c r="L1052" s="38"/>
      <c r="M1052" s="38"/>
      <c r="N1052" s="38"/>
      <c r="O1052" s="38"/>
      <c r="P1052" s="38"/>
      <c r="Q1052" s="38"/>
      <c r="R1052" s="38"/>
      <c r="S1052" s="38"/>
      <c r="T1052" s="38"/>
      <c r="U1052" s="38"/>
      <c r="V1052" s="38"/>
      <c r="W1052" s="38"/>
      <c r="X1052" s="38"/>
      <c r="Y1052" s="38"/>
      <c r="Z1052" s="38"/>
    </row>
    <row r="1053">
      <c r="A1053" s="38"/>
      <c r="B1053" s="47"/>
      <c r="C1053" s="38"/>
      <c r="D1053" s="48"/>
      <c r="E1053" s="49"/>
      <c r="F1053" s="38"/>
      <c r="G1053" s="38"/>
      <c r="H1053" s="38"/>
      <c r="I1053" s="38"/>
      <c r="J1053" s="38"/>
      <c r="K1053" s="38"/>
      <c r="L1053" s="38"/>
      <c r="M1053" s="38"/>
      <c r="N1053" s="38"/>
      <c r="O1053" s="38"/>
      <c r="P1053" s="38"/>
      <c r="Q1053" s="38"/>
      <c r="R1053" s="38"/>
      <c r="S1053" s="38"/>
      <c r="T1053" s="38"/>
      <c r="U1053" s="38"/>
      <c r="V1053" s="38"/>
      <c r="W1053" s="38"/>
      <c r="X1053" s="38"/>
      <c r="Y1053" s="38"/>
      <c r="Z1053" s="38"/>
    </row>
    <row r="1054">
      <c r="A1054" s="38"/>
      <c r="B1054" s="47"/>
      <c r="C1054" s="38"/>
      <c r="D1054" s="48"/>
      <c r="E1054" s="49"/>
      <c r="F1054" s="38"/>
      <c r="G1054" s="38"/>
      <c r="H1054" s="38"/>
      <c r="I1054" s="38"/>
      <c r="J1054" s="38"/>
      <c r="K1054" s="38"/>
      <c r="L1054" s="38"/>
      <c r="M1054" s="38"/>
      <c r="N1054" s="38"/>
      <c r="O1054" s="38"/>
      <c r="P1054" s="38"/>
      <c r="Q1054" s="38"/>
      <c r="R1054" s="38"/>
      <c r="S1054" s="38"/>
      <c r="T1054" s="38"/>
      <c r="U1054" s="38"/>
      <c r="V1054" s="38"/>
      <c r="W1054" s="38"/>
      <c r="X1054" s="38"/>
      <c r="Y1054" s="38"/>
      <c r="Z1054" s="38"/>
    </row>
    <row r="1055">
      <c r="A1055" s="38"/>
      <c r="B1055" s="47"/>
      <c r="C1055" s="38"/>
      <c r="D1055" s="48"/>
      <c r="E1055" s="49"/>
      <c r="F1055" s="38"/>
      <c r="G1055" s="38"/>
      <c r="H1055" s="38"/>
      <c r="I1055" s="38"/>
      <c r="J1055" s="38"/>
      <c r="K1055" s="38"/>
      <c r="L1055" s="38"/>
      <c r="M1055" s="38"/>
      <c r="N1055" s="38"/>
      <c r="O1055" s="38"/>
      <c r="P1055" s="38"/>
      <c r="Q1055" s="38"/>
      <c r="R1055" s="38"/>
      <c r="S1055" s="38"/>
      <c r="T1055" s="38"/>
      <c r="U1055" s="38"/>
      <c r="V1055" s="38"/>
      <c r="W1055" s="38"/>
      <c r="X1055" s="38"/>
      <c r="Y1055" s="38"/>
      <c r="Z1055" s="38"/>
    </row>
    <row r="1056">
      <c r="A1056" s="38"/>
      <c r="B1056" s="47"/>
      <c r="C1056" s="38"/>
      <c r="D1056" s="48"/>
      <c r="E1056" s="49"/>
      <c r="F1056" s="38"/>
      <c r="G1056" s="38"/>
      <c r="H1056" s="38"/>
      <c r="I1056" s="38"/>
      <c r="J1056" s="38"/>
      <c r="K1056" s="38"/>
      <c r="L1056" s="38"/>
      <c r="M1056" s="38"/>
      <c r="N1056" s="38"/>
      <c r="O1056" s="38"/>
      <c r="P1056" s="38"/>
      <c r="Q1056" s="38"/>
      <c r="R1056" s="38"/>
      <c r="S1056" s="38"/>
      <c r="T1056" s="38"/>
      <c r="U1056" s="38"/>
      <c r="V1056" s="38"/>
      <c r="W1056" s="38"/>
      <c r="X1056" s="38"/>
      <c r="Y1056" s="38"/>
      <c r="Z1056" s="38"/>
    </row>
  </sheetData>
  <customSheetViews>
    <customSheetView guid="{97921F84-6BA7-47CA-9AA1-9D331FA0FD32}" filter="1" showAutoFilter="1">
      <autoFilter ref="$A$1:$L$102"/>
    </customSheetView>
  </customSheetViews>
  <mergeCells count="1">
    <mergeCell ref="D1:F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  <hyperlink r:id="rId93" ref="E95"/>
    <hyperlink r:id="rId94" ref="E96"/>
    <hyperlink r:id="rId95" ref="E97"/>
    <hyperlink r:id="rId96" ref="E98"/>
    <hyperlink r:id="rId97" ref="E99"/>
    <hyperlink r:id="rId98" ref="E100"/>
    <hyperlink r:id="rId99" ref="E101"/>
    <hyperlink r:id="rId100" ref="E102"/>
    <hyperlink r:id="rId101" ref="E103"/>
    <hyperlink r:id="rId102" ref="E104"/>
    <hyperlink r:id="rId103" ref="E105"/>
    <hyperlink r:id="rId104" ref="E106"/>
    <hyperlink r:id="rId105" ref="E107"/>
    <hyperlink r:id="rId106" ref="E108"/>
    <hyperlink r:id="rId107" ref="E109"/>
    <hyperlink r:id="rId108" ref="E110"/>
    <hyperlink r:id="rId109" ref="E111"/>
    <hyperlink r:id="rId110" ref="E112"/>
    <hyperlink r:id="rId111" ref="E1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2"/>
</worksheet>
</file>